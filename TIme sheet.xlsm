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TLAB Drive\Eclipse\"/>
    </mc:Choice>
  </mc:AlternateContent>
  <xr:revisionPtr revIDLastSave="0" documentId="13_ncr:1_{8099A76A-6F32-46ED-933B-391DED2BE15B}" xr6:coauthVersionLast="45" xr6:coauthVersionMax="45" xr10:uidLastSave="{00000000-0000-0000-0000-000000000000}"/>
  <bookViews>
    <workbookView xWindow="-120" yWindow="-120" windowWidth="29040" windowHeight="15840" tabRatio="835" activeTab="3" xr2:uid="{00000000-000D-0000-FFFF-FFFF00000000}"/>
  </bookViews>
  <sheets>
    <sheet name="OPTIONAL LEAVE TRACKING SHEET" sheetId="8" r:id="rId1"/>
    <sheet name="Enter Employee Name, CWID" sheetId="1" r:id="rId2"/>
    <sheet name="Beginning 05-31-20" sheetId="28" r:id="rId3"/>
    <sheet name="Beginning 06-14-20" sheetId="30" r:id="rId4"/>
  </sheets>
  <functionGroups builtInGroupCount="19"/>
  <definedNames>
    <definedName name="ACCRUE_LEAVE">'Enter Employee Name, CWID'!$I$6</definedName>
    <definedName name="ANNUAL_CALC_BAL">'Enter Employee Name, CWID'!A1048576+'Enter Employee Name, CWID'!XFC1-'Enter Employee Name, CWID'!XFD1</definedName>
    <definedName name="BEGIN_DATE">'OPTIONAL LEAVE TRACKING SHEET'!$O$12</definedName>
    <definedName name="BeginBalanceComp">'Enter Employee Name, CWID'!$J$12</definedName>
    <definedName name="COMP_CALC_BAL">'Enter Employee Name, CWID'!A1048576+'Enter Employee Name, CWID'!XFC1-'Enter Employee Name, CWID'!XFD1</definedName>
    <definedName name="CONT_EMPLOY">'Enter Employee Name, CWID'!$I$1</definedName>
    <definedName name="EligibleforOvertime">'Enter Employee Name, CWID'!$I$4</definedName>
    <definedName name="FTE">'Enter Employee Name, CWID'!$I$3</definedName>
    <definedName name="IUH">'OPTIONAL LEAVE TRACKING SHEET'!A1048576+'OPTIONAL LEAVE TRACKING SHEET'!XFC1-'OPTIONAL LEAVE TRACKING SHEET'!XFD1</definedName>
    <definedName name="LEAVE_TABLE">'Enter Employee Name, CWID'!$M$8:$O$10</definedName>
    <definedName name="NAME">'Enter Employee Name, CWID'!$A$18:$C$18</definedName>
    <definedName name="OvertimeRate">'Enter Employee Name, CWID'!$I$5</definedName>
    <definedName name="paidOTWeek1" localSheetId="2">'Beginning 05-31-20'!$H$16</definedName>
    <definedName name="paidOTWeek1" localSheetId="3">'Beginning 06-14-20'!$H$16</definedName>
    <definedName name="paidOTWeek1">#REF!</definedName>
    <definedName name="paidOTWeek2" localSheetId="2">'Beginning 05-31-20'!$H$34</definedName>
    <definedName name="paidOTWeek2" localSheetId="3">'Beginning 06-14-20'!$H$34</definedName>
    <definedName name="paidOTWeek2">#REF!</definedName>
    <definedName name="PERIOD">'Enter Employee Name, CWID'!$I$7</definedName>
    <definedName name="RPT" localSheetId="2">IF(OR('Beginning 05-31-20'!XES1&gt;'Beginning 05-31-20'!XET1,'Beginning 05-31-20'!XEU1&gt;'Beginning 05-31-20'!XEV1,'Beginning 05-31-20'!XEW1&gt;'Beginning 05-31-20'!XEX1),"ERR",SUM('Beginning 05-31-20'!XEY1:XFB1)+'Beginning 05-31-20'!XFD1)</definedName>
    <definedName name="RPT" localSheetId="3">IF(OR('Beginning 06-14-20'!XES1&gt;'Beginning 06-14-20'!XET1,'Beginning 06-14-20'!XEU1&gt;'Beginning 06-14-20'!XEV1,'Beginning 06-14-20'!XEW1&gt;'Beginning 06-14-20'!XEX1),"ERR",SUM('Beginning 06-14-20'!XEY1:XFB1)+'Beginning 06-14-20'!XFD1)</definedName>
    <definedName name="RPT">IF(OR(#REF!&gt;#REF!,#REF!&gt;#REF!,#REF!&gt;#REF!),"ERR",SUM(#REF!)+#REF!)</definedName>
    <definedName name="SICK_CALC_BAL">'Enter Employee Name, CWID'!A1048576+'Enter Employee Name, CWID'!XFC1-'Enter Employee Name, CWID'!XFD1</definedName>
    <definedName name="SSN">'Enter Employee Name, CWID'!$B$3:$D$3</definedName>
    <definedName name="START_DATE" localSheetId="2">'Beginning 05-31-20'!$C$4</definedName>
    <definedName name="START_DATE" localSheetId="3">'Beginning 06-14-20'!$C$4</definedName>
    <definedName name="START_DATE">#REF!</definedName>
    <definedName name="VACATION_START">'OPTIONAL LEAVE TRACKING SHEET'!$N$15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2" i="30" l="1"/>
  <c r="N41" i="30"/>
  <c r="T37" i="30"/>
  <c r="L35" i="30"/>
  <c r="E47" i="30" s="1"/>
  <c r="K35" i="30"/>
  <c r="E44" i="30" s="1"/>
  <c r="J35" i="30"/>
  <c r="E42" i="30" s="1"/>
  <c r="O34" i="30"/>
  <c r="O35" i="30" s="1"/>
  <c r="E52" i="30" s="1"/>
  <c r="N34" i="30"/>
  <c r="N35" i="30" s="1"/>
  <c r="E49" i="30" s="1"/>
  <c r="L34" i="30"/>
  <c r="K34" i="30"/>
  <c r="J34" i="30"/>
  <c r="T18" i="30"/>
  <c r="O16" i="30"/>
  <c r="N16" i="30"/>
  <c r="L16" i="30"/>
  <c r="N45" i="30" s="1"/>
  <c r="K16" i="30"/>
  <c r="J16" i="30"/>
  <c r="A9" i="30"/>
  <c r="A10" i="30" s="1"/>
  <c r="A11" i="30" s="1"/>
  <c r="A12" i="30" s="1"/>
  <c r="A13" i="30" s="1"/>
  <c r="A14" i="30" s="1"/>
  <c r="A15" i="30" s="1"/>
  <c r="A27" i="30" s="1"/>
  <c r="A28" i="30" s="1"/>
  <c r="A29" i="30" s="1"/>
  <c r="A30" i="30" s="1"/>
  <c r="A31" i="30" s="1"/>
  <c r="A32" i="30" s="1"/>
  <c r="A33" i="30" s="1"/>
  <c r="W4" i="30"/>
  <c r="K4" i="30"/>
  <c r="G4" i="30"/>
  <c r="I30" i="30"/>
  <c r="I27" i="30"/>
  <c r="I12" i="30"/>
  <c r="I32" i="30"/>
  <c r="I9" i="30"/>
  <c r="I28" i="30"/>
  <c r="I13" i="30"/>
  <c r="I29" i="30"/>
  <c r="I14" i="30"/>
  <c r="I31" i="30"/>
  <c r="I11" i="30"/>
  <c r="I33" i="30"/>
  <c r="I10" i="30"/>
  <c r="I15" i="30"/>
  <c r="P15" i="30" l="1"/>
  <c r="P10" i="30"/>
  <c r="P33" i="30"/>
  <c r="P11" i="30"/>
  <c r="P31" i="30"/>
  <c r="P14" i="30"/>
  <c r="P29" i="30"/>
  <c r="P13" i="30"/>
  <c r="P28" i="30"/>
  <c r="P9" i="30"/>
  <c r="C17" i="30"/>
  <c r="P32" i="30"/>
  <c r="P12" i="30"/>
  <c r="C36" i="30"/>
  <c r="P27" i="30"/>
  <c r="P30" i="30"/>
  <c r="E42" i="28"/>
  <c r="P34" i="30" l="1"/>
  <c r="P17" i="30"/>
  <c r="T20" i="30"/>
  <c r="U20" i="30" s="1"/>
  <c r="T19" i="30"/>
  <c r="D37" i="30"/>
  <c r="P36" i="30"/>
  <c r="T41" i="30"/>
  <c r="U41" i="30" s="1"/>
  <c r="T39" i="30"/>
  <c r="P16" i="30"/>
  <c r="H59" i="8"/>
  <c r="A18" i="1"/>
  <c r="A21" i="1"/>
  <c r="I10" i="28"/>
  <c r="I13" i="28"/>
  <c r="O37" i="30" l="1"/>
  <c r="N43" i="30"/>
  <c r="N44" i="30" s="1"/>
  <c r="N46" i="30" s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I20" i="8"/>
  <c r="I19" i="8"/>
  <c r="C28" i="8"/>
  <c r="J34" i="28"/>
  <c r="K34" i="28"/>
  <c r="L34" i="28"/>
  <c r="N34" i="28"/>
  <c r="O34" i="28"/>
  <c r="J16" i="28"/>
  <c r="K16" i="28"/>
  <c r="L16" i="28"/>
  <c r="N16" i="28"/>
  <c r="O16" i="28"/>
  <c r="K4" i="28"/>
  <c r="A9" i="28"/>
  <c r="A10" i="28" s="1"/>
  <c r="A11" i="28" s="1"/>
  <c r="A12" i="28" s="1"/>
  <c r="A13" i="28" s="1"/>
  <c r="A14" i="28" s="1"/>
  <c r="A15" i="28" s="1"/>
  <c r="A27" i="28" s="1"/>
  <c r="A28" i="28" s="1"/>
  <c r="A29" i="28" s="1"/>
  <c r="A30" i="28" s="1"/>
  <c r="A31" i="28" s="1"/>
  <c r="A32" i="28" s="1"/>
  <c r="A33" i="28" s="1"/>
  <c r="N42" i="28"/>
  <c r="W4" i="28"/>
  <c r="G4" i="28"/>
  <c r="I23" i="8"/>
  <c r="E16" i="8"/>
  <c r="E18" i="8" s="1"/>
  <c r="B16" i="8"/>
  <c r="B23" i="8" s="1"/>
  <c r="E59" i="8"/>
  <c r="B59" i="8"/>
  <c r="G13" i="8"/>
  <c r="I29" i="8" l="1"/>
  <c r="F33" i="8"/>
  <c r="F29" i="8"/>
  <c r="C24" i="8"/>
  <c r="C27" i="8"/>
  <c r="I26" i="8"/>
  <c r="F30" i="8"/>
  <c r="C23" i="8"/>
  <c r="F19" i="8"/>
  <c r="C20" i="8"/>
  <c r="C26" i="8"/>
  <c r="F21" i="8"/>
  <c r="J35" i="28"/>
  <c r="C41" i="8" s="1"/>
  <c r="C38" i="8"/>
  <c r="F27" i="8"/>
  <c r="F28" i="8"/>
  <c r="I27" i="8"/>
  <c r="I22" i="8"/>
  <c r="C29" i="8"/>
  <c r="F23" i="8"/>
  <c r="F37" i="8"/>
  <c r="I18" i="8"/>
  <c r="F20" i="8"/>
  <c r="F38" i="8"/>
  <c r="F26" i="8"/>
  <c r="I33" i="8"/>
  <c r="B21" i="8"/>
  <c r="B33" i="8"/>
  <c r="C19" i="8"/>
  <c r="E28" i="8"/>
  <c r="N35" i="28"/>
  <c r="E49" i="28" s="1"/>
  <c r="B38" i="8"/>
  <c r="B28" i="8"/>
  <c r="B17" i="8"/>
  <c r="T37" i="28"/>
  <c r="E20" i="8"/>
  <c r="E36" i="8"/>
  <c r="I21" i="8"/>
  <c r="N45" i="28"/>
  <c r="I41" i="8" s="1"/>
  <c r="I38" i="8"/>
  <c r="I37" i="8"/>
  <c r="C37" i="8"/>
  <c r="I32" i="8"/>
  <c r="C32" i="8"/>
  <c r="F31" i="8"/>
  <c r="F18" i="8"/>
  <c r="B25" i="8"/>
  <c r="B41" i="8"/>
  <c r="B30" i="8"/>
  <c r="E24" i="8"/>
  <c r="E32" i="8"/>
  <c r="E40" i="8"/>
  <c r="B27" i="8"/>
  <c r="E31" i="8"/>
  <c r="F40" i="8"/>
  <c r="C39" i="8"/>
  <c r="F39" i="8"/>
  <c r="F36" i="8"/>
  <c r="C36" i="8"/>
  <c r="C22" i="8"/>
  <c r="F22" i="8"/>
  <c r="C21" i="8"/>
  <c r="C18" i="8"/>
  <c r="F17" i="8"/>
  <c r="C17" i="8"/>
  <c r="I31" i="8"/>
  <c r="O35" i="28"/>
  <c r="E52" i="28" s="1"/>
  <c r="F25" i="8"/>
  <c r="C25" i="8"/>
  <c r="I17" i="8"/>
  <c r="F35" i="8"/>
  <c r="C35" i="8"/>
  <c r="C34" i="8"/>
  <c r="F34" i="8"/>
  <c r="C33" i="8"/>
  <c r="B19" i="8"/>
  <c r="B36" i="8"/>
  <c r="B35" i="8"/>
  <c r="B18" i="8"/>
  <c r="E39" i="8"/>
  <c r="E23" i="8"/>
  <c r="I30" i="8"/>
  <c r="B20" i="8"/>
  <c r="B29" i="8"/>
  <c r="B37" i="8"/>
  <c r="B42" i="8"/>
  <c r="B34" i="8"/>
  <c r="B26" i="8"/>
  <c r="E22" i="8"/>
  <c r="E26" i="8"/>
  <c r="E30" i="8"/>
  <c r="E34" i="8"/>
  <c r="E38" i="8"/>
  <c r="E42" i="8"/>
  <c r="B24" i="8"/>
  <c r="B32" i="8"/>
  <c r="B40" i="8"/>
  <c r="B39" i="8"/>
  <c r="B31" i="8"/>
  <c r="B22" i="8"/>
  <c r="E17" i="8"/>
  <c r="E35" i="8"/>
  <c r="E27" i="8"/>
  <c r="E19" i="8"/>
  <c r="C42" i="8"/>
  <c r="I40" i="8"/>
  <c r="C31" i="8"/>
  <c r="I42" i="8"/>
  <c r="F42" i="8"/>
  <c r="T18" i="28"/>
  <c r="L35" i="28"/>
  <c r="E47" i="28" s="1"/>
  <c r="I39" i="8"/>
  <c r="I36" i="8"/>
  <c r="I35" i="8"/>
  <c r="I34" i="8"/>
  <c r="F32" i="8"/>
  <c r="F24" i="8"/>
  <c r="K35" i="28"/>
  <c r="E44" i="28" s="1"/>
  <c r="F41" i="8" s="1"/>
  <c r="C40" i="8"/>
  <c r="I28" i="8"/>
  <c r="I25" i="8"/>
  <c r="C30" i="8"/>
  <c r="E41" i="8"/>
  <c r="E37" i="8"/>
  <c r="E33" i="8"/>
  <c r="E29" i="8"/>
  <c r="E25" i="8"/>
  <c r="E21" i="8"/>
  <c r="I24" i="8"/>
  <c r="G17" i="8" l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D17" i="8"/>
  <c r="D18" i="8" s="1"/>
  <c r="D19" i="8" s="1"/>
  <c r="D20" i="8" s="1"/>
  <c r="D21" i="8" s="1"/>
  <c r="D22" i="8" s="1"/>
  <c r="D23" i="8" s="1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D40" i="8" s="1"/>
  <c r="D41" i="8" s="1"/>
  <c r="D42" i="8" s="1"/>
  <c r="P13" i="28" l="1"/>
  <c r="P10" i="28"/>
  <c r="I31" i="28"/>
  <c r="I9" i="28"/>
  <c r="I28" i="28"/>
  <c r="I30" i="28"/>
  <c r="I33" i="28"/>
  <c r="I27" i="28"/>
  <c r="I11" i="28"/>
  <c r="I15" i="28"/>
  <c r="I12" i="28"/>
  <c r="I14" i="28"/>
  <c r="I29" i="28"/>
  <c r="I32" i="28"/>
  <c r="P32" i="28" l="1"/>
  <c r="P29" i="28"/>
  <c r="P14" i="28"/>
  <c r="P12" i="28"/>
  <c r="P15" i="28"/>
  <c r="P11" i="28"/>
  <c r="P27" i="28"/>
  <c r="C36" i="28"/>
  <c r="T39" i="28" s="1"/>
  <c r="P33" i="28"/>
  <c r="P30" i="28"/>
  <c r="P28" i="28"/>
  <c r="C17" i="28"/>
  <c r="T20" i="28" s="1"/>
  <c r="U20" i="28" s="1"/>
  <c r="P9" i="28"/>
  <c r="P31" i="28"/>
  <c r="H19" i="8"/>
  <c r="T41" i="28" l="1"/>
  <c r="U41" i="28" s="1"/>
  <c r="P16" i="28"/>
  <c r="P17" i="28"/>
  <c r="H33" i="8"/>
  <c r="T19" i="28"/>
  <c r="H32" i="8"/>
  <c r="P36" i="28"/>
  <c r="P34" i="28"/>
  <c r="D37" i="28"/>
  <c r="H42" i="8"/>
  <c r="H40" i="8"/>
  <c r="H26" i="8"/>
  <c r="H20" i="8"/>
  <c r="H29" i="8"/>
  <c r="H23" i="8"/>
  <c r="H24" i="8"/>
  <c r="H28" i="8"/>
  <c r="H31" i="8"/>
  <c r="H27" i="8"/>
  <c r="H25" i="8"/>
  <c r="H18" i="8"/>
  <c r="H22" i="8"/>
  <c r="H21" i="8"/>
  <c r="N43" i="28" l="1"/>
  <c r="H41" i="8" s="1"/>
  <c r="H39" i="8"/>
  <c r="O37" i="28"/>
  <c r="H35" i="8"/>
  <c r="H37" i="8"/>
  <c r="H34" i="8"/>
  <c r="H36" i="8"/>
  <c r="H38" i="8"/>
  <c r="H30" i="8"/>
  <c r="H17" i="8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l="1"/>
  <c r="J31" i="8" s="1"/>
  <c r="J32" i="8" s="1"/>
  <c r="J33" i="8" s="1"/>
  <c r="J34" i="8" s="1"/>
  <c r="J35" i="8" s="1"/>
  <c r="J36" i="8" s="1"/>
  <c r="J37" i="8" s="1"/>
  <c r="J38" i="8" s="1"/>
  <c r="J39" i="8" s="1"/>
  <c r="J40" i="8" s="1"/>
  <c r="J41" i="8" s="1"/>
  <c r="J42" i="8" s="1"/>
  <c r="N41" i="28"/>
  <c r="N44" i="28" s="1"/>
  <c r="N46" i="28" s="1"/>
</calcChain>
</file>

<file path=xl/sharedStrings.xml><?xml version="1.0" encoding="utf-8"?>
<sst xmlns="http://schemas.openxmlformats.org/spreadsheetml/2006/main" count="355" uniqueCount="139">
  <si>
    <t>NAME:</t>
  </si>
  <si>
    <t>FTE:</t>
  </si>
  <si>
    <t>ELIGIBLE FOR OVERTIME?</t>
  </si>
  <si>
    <t>Y</t>
  </si>
  <si>
    <t>Dept #</t>
  </si>
  <si>
    <t>OVERTIME RATE:</t>
  </si>
  <si>
    <t>Maximum Accrual Chart</t>
  </si>
  <si>
    <t>ACCRUE LEAVE?</t>
  </si>
  <si>
    <t>Annual</t>
  </si>
  <si>
    <t>PERIOD NUMBER:</t>
  </si>
  <si>
    <t>Years</t>
  </si>
  <si>
    <t>Accrual</t>
  </si>
  <si>
    <t>Max</t>
  </si>
  <si>
    <t>ANNUAL LEAVE</t>
  </si>
  <si>
    <t>SICK LEAVE</t>
  </si>
  <si>
    <t>COMPENSATORY TIME</t>
  </si>
  <si>
    <t>PAY</t>
  </si>
  <si>
    <t>Maximum Accrual</t>
  </si>
  <si>
    <t>See chart</t>
  </si>
  <si>
    <t>PERIOD</t>
  </si>
  <si>
    <t>Used</t>
  </si>
  <si>
    <t>Balance</t>
  </si>
  <si>
    <t>Military Time Cheat Sheet</t>
  </si>
  <si>
    <t>Military</t>
  </si>
  <si>
    <t>Standard</t>
  </si>
  <si>
    <t>PM</t>
  </si>
  <si>
    <t>24:00</t>
  </si>
  <si>
    <t>AM</t>
  </si>
  <si>
    <t>Please fill in only the yellow boxes in order to track your time</t>
  </si>
  <si>
    <t>EMPLOYEE START DATE:</t>
  </si>
  <si>
    <t>PERIOD:</t>
  </si>
  <si>
    <t>TO</t>
  </si>
  <si>
    <t>YEARS EMPLOYEE HAS WORKED:</t>
  </si>
  <si>
    <t xml:space="preserve"> </t>
  </si>
  <si>
    <t>FTE</t>
  </si>
  <si>
    <t>Enter in Military time with a colon and DO NOT skip columns</t>
  </si>
  <si>
    <t>OTH LV</t>
  </si>
  <si>
    <t>DATE</t>
  </si>
  <si>
    <t>DAY</t>
  </si>
  <si>
    <t>IN</t>
  </si>
  <si>
    <t>OUT</t>
  </si>
  <si>
    <t>WRKD</t>
  </si>
  <si>
    <t>AL</t>
  </si>
  <si>
    <t>SL</t>
  </si>
  <si>
    <t>CL</t>
  </si>
  <si>
    <t>TYPE</t>
  </si>
  <si>
    <t>HRS</t>
  </si>
  <si>
    <t>RPT</t>
  </si>
  <si>
    <t>SAT</t>
  </si>
  <si>
    <t>SUN</t>
  </si>
  <si>
    <t>MON</t>
  </si>
  <si>
    <t>TUE</t>
  </si>
  <si>
    <t>WED</t>
  </si>
  <si>
    <t>THU</t>
  </si>
  <si>
    <t>FRI</t>
  </si>
  <si>
    <t>HRS PAID OT:</t>
  </si>
  <si>
    <t>WORKED:</t>
  </si>
  <si>
    <t>PAID:</t>
  </si>
  <si>
    <t>Comp Accrual Week 1</t>
  </si>
  <si>
    <t>Total Leave:</t>
  </si>
  <si>
    <t>HOURS ROUNDED</t>
  </si>
  <si>
    <t>1.0 Time:</t>
  </si>
  <si>
    <t>53 MIN TO 07 MIN = 1.00 HOUR</t>
  </si>
  <si>
    <t>1.5 Time:</t>
  </si>
  <si>
    <t>08 MIN TO 22 MIN = 0.25 HOUR</t>
  </si>
  <si>
    <t>AD = Administrative</t>
  </si>
  <si>
    <t>23 MIN TO 37 MIN = 0.50 HOUR</t>
  </si>
  <si>
    <t>FL = Funeral Leave</t>
  </si>
  <si>
    <t>38 MIN TO 52 MIN = 0.75 HOUR</t>
  </si>
  <si>
    <t>Comp Accrual Week 2</t>
  </si>
  <si>
    <t>TOTAL  WORKED:</t>
  </si>
  <si>
    <t>TOTAL  PAID:</t>
  </si>
  <si>
    <t>FOR PAYROLL USE ONLY</t>
  </si>
  <si>
    <t>Overtime/Comp Forward</t>
  </si>
  <si>
    <t>AL=</t>
  </si>
  <si>
    <t>hrs. Overtime</t>
  </si>
  <si>
    <t>Comp Accrued</t>
  </si>
  <si>
    <t>SL=</t>
  </si>
  <si>
    <t>Subtotal</t>
  </si>
  <si>
    <t>Less Total Used</t>
  </si>
  <si>
    <t>Balance Forward</t>
  </si>
  <si>
    <t>CL=</t>
  </si>
  <si>
    <t>OTHER=</t>
  </si>
  <si>
    <t>*Overtime must be approved by supervisor</t>
  </si>
  <si>
    <t>*Initials</t>
  </si>
  <si>
    <t>to be paid, otherwise it will be comped.</t>
  </si>
  <si>
    <t>EMPLOYEE'S SIGNATURE:</t>
  </si>
  <si>
    <t>SUPERVISOR'S SIGNATURE:</t>
  </si>
  <si>
    <t>Current MO</t>
  </si>
  <si>
    <t>0-5</t>
  </si>
  <si>
    <t>6-10</t>
  </si>
  <si>
    <t>11 +</t>
  </si>
  <si>
    <t>Current</t>
  </si>
  <si>
    <t>Max Accrual</t>
  </si>
  <si>
    <t>BEGINS</t>
  </si>
  <si>
    <t>FL Relationship:</t>
  </si>
  <si>
    <t xml:space="preserve">relationship at the bottom </t>
  </si>
  <si>
    <t xml:space="preserve">***If Funeral Leave is used, enter the </t>
  </si>
  <si>
    <t>HL</t>
  </si>
  <si>
    <t>JD = Jury Duty</t>
  </si>
  <si>
    <t>Years of</t>
  </si>
  <si>
    <t>Service</t>
  </si>
  <si>
    <t>HL=</t>
  </si>
  <si>
    <t>OTHER TYPES OF LEAVE</t>
  </si>
  <si>
    <t>MT = Military Leave</t>
  </si>
  <si>
    <t>+</t>
  </si>
  <si>
    <t>Enter your Accrual amount from above</t>
  </si>
  <si>
    <t>Annual Leave Beginning Balance</t>
  </si>
  <si>
    <t>Sick Leave Beginning Balance</t>
  </si>
  <si>
    <t>Comp Leave Beginning Balance</t>
  </si>
  <si>
    <t>-</t>
  </si>
  <si>
    <t>To find beginning balances see bottom of sheet:</t>
  </si>
  <si>
    <t xml:space="preserve">  Enter your accrual amount according to chart</t>
  </si>
  <si>
    <t>(ENTER OVERTIME HOURS TO BE PAID IN 'HRS PAID OT', YELLOW BOX)</t>
  </si>
  <si>
    <t xml:space="preserve"> - use  the "delete" key to erase</t>
  </si>
  <si>
    <t>Enter these totals as the beginning balance at the top of this page</t>
  </si>
  <si>
    <t xml:space="preserve">  Enter your FTE</t>
  </si>
  <si>
    <t>***Call Personnel or Payroll for your department number if you do not know what it is</t>
  </si>
  <si>
    <t>FMLA = FAMILY MEDICAL LEAVE</t>
  </si>
  <si>
    <t>CWID:</t>
  </si>
  <si>
    <t>Max accruable comp leave = 240.00</t>
  </si>
  <si>
    <t>Begin date</t>
  </si>
  <si>
    <t xml:space="preserve">Vacation </t>
  </si>
  <si>
    <t>x</t>
  </si>
  <si>
    <r>
      <t>NOTE:</t>
    </r>
    <r>
      <rPr>
        <b/>
        <sz val="10"/>
        <rFont val="Arial"/>
        <family val="2"/>
      </rPr>
      <t xml:space="preserve">  THIS SHEET HAS BEEN ADDED AS A CONVENIENCE TO YOU.   IT IS </t>
    </r>
    <r>
      <rPr>
        <b/>
        <u/>
        <sz val="10"/>
        <rFont val="Arial"/>
        <family val="2"/>
      </rPr>
      <t>NOT</t>
    </r>
    <r>
      <rPr>
        <b/>
        <sz val="10"/>
        <rFont val="Arial"/>
        <family val="2"/>
      </rPr>
      <t xml:space="preserve"> NECESSARILY ACCURATE.</t>
    </r>
  </si>
  <si>
    <r>
      <t>ALWAYS</t>
    </r>
    <r>
      <rPr>
        <b/>
        <sz val="10"/>
        <rFont val="Arial"/>
        <family val="2"/>
      </rPr>
      <t xml:space="preserve"> REFER TO WEB FOR EMPLOYEES FOR AVAILABLE BALANCES.</t>
    </r>
  </si>
  <si>
    <t>Last Updated:</t>
  </si>
  <si>
    <t>First Name:</t>
  </si>
  <si>
    <t>Last Name:</t>
  </si>
  <si>
    <t>Enter your Department Number as assigned with a dash.</t>
  </si>
  <si>
    <t>For example: AG-D0401</t>
  </si>
  <si>
    <t>performance matter that your supervisor will discuss with you.  Falsifying time is grounds for disciplinary action, including possible</t>
  </si>
  <si>
    <t>termination. Fax your timesheet to 594.8547 by noon Monday following the end of the pay period.</t>
  </si>
  <si>
    <t xml:space="preserve">Time is rounded for ease in calculation.  Patterns of repeated early or late times beginning or ending work is a </t>
  </si>
  <si>
    <t>Enter your leave balance as noted on your 6/19/15 payroll advice</t>
  </si>
  <si>
    <t>Enter the number of hours used during the 6/06/15-6/19/15 pay period</t>
  </si>
  <si>
    <t>Zachary Yap</t>
  </si>
  <si>
    <t>Zach</t>
  </si>
  <si>
    <t>Yap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</si>
</sst>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0"/>
    <numFmt numFmtId="165" formatCode="mm/dd/yy"/>
    <numFmt numFmtId="166" formatCode="mm/dd"/>
    <numFmt numFmtId="167" formatCode="h:mmAM/PM"/>
    <numFmt numFmtId="168" formatCode="00.00"/>
    <numFmt numFmtId="169" formatCode="000\-00\-0000"/>
    <numFmt numFmtId="170" formatCode="000\-00\-000"/>
  </numFmts>
  <fonts count="21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4"/>
      <name val="Arial"/>
      <family val="2"/>
    </font>
    <font>
      <sz val="11"/>
      <name val="Arial"/>
      <family val="2"/>
    </font>
    <font>
      <sz val="10"/>
      <color indexed="10"/>
      <name val="Arial"/>
      <family val="2"/>
    </font>
    <font>
      <sz val="10"/>
      <color indexed="33"/>
      <name val="Arial"/>
      <family val="2"/>
    </font>
    <font>
      <b/>
      <sz val="8.5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mediumGray"/>
    </fill>
    <fill>
      <patternFill patternType="solid">
        <fgColor indexed="65"/>
        <bgColor indexed="64"/>
      </patternFill>
    </fill>
    <fill>
      <patternFill patternType="mediumGray"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" fillId="0" borderId="0"/>
  </cellStyleXfs>
  <cellXfs count="299">
    <xf numFmtId="0" fontId="0" fillId="0" borderId="0" xfId="0"/>
    <xf numFmtId="0" fontId="3" fillId="0" borderId="1" xfId="2" applyFont="1" applyBorder="1" applyAlignment="1">
      <alignment horizontal="center"/>
    </xf>
    <xf numFmtId="20" fontId="4" fillId="0" borderId="0" xfId="0" applyNumberFormat="1" applyFont="1" applyFill="1" applyBorder="1" applyProtection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/>
    <xf numFmtId="0" fontId="4" fillId="0" borderId="9" xfId="0" quotePrefix="1" applyFont="1" applyBorder="1" applyAlignment="1">
      <alignment horizontal="center"/>
    </xf>
    <xf numFmtId="0" fontId="4" fillId="0" borderId="5" xfId="0" quotePrefix="1" applyFont="1" applyBorder="1" applyAlignment="1">
      <alignment horizontal="center"/>
    </xf>
    <xf numFmtId="0" fontId="4" fillId="0" borderId="1" xfId="0" applyFont="1" applyBorder="1"/>
    <xf numFmtId="0" fontId="4" fillId="0" borderId="6" xfId="0" applyFont="1" applyBorder="1"/>
    <xf numFmtId="0" fontId="4" fillId="0" borderId="0" xfId="0" applyFont="1" applyFill="1" applyBorder="1" applyAlignment="1">
      <alignment horizontal="center"/>
    </xf>
    <xf numFmtId="0" fontId="6" fillId="0" borderId="0" xfId="0" applyFont="1"/>
    <xf numFmtId="0" fontId="8" fillId="0" borderId="0" xfId="0" applyFont="1"/>
    <xf numFmtId="0" fontId="4" fillId="6" borderId="13" xfId="0" applyFont="1" applyFill="1" applyBorder="1"/>
    <xf numFmtId="0" fontId="9" fillId="0" borderId="0" xfId="0" applyFont="1"/>
    <xf numFmtId="49" fontId="4" fillId="0" borderId="0" xfId="0" applyNumberFormat="1" applyFont="1"/>
    <xf numFmtId="0" fontId="7" fillId="0" borderId="0" xfId="0" applyFont="1"/>
    <xf numFmtId="0" fontId="1" fillId="0" borderId="0" xfId="0" applyFont="1"/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NumberFormat="1" applyFont="1" applyFill="1" applyBorder="1"/>
    <xf numFmtId="0" fontId="1" fillId="0" borderId="0" xfId="0" applyFont="1" applyProtection="1"/>
    <xf numFmtId="20" fontId="1" fillId="0" borderId="0" xfId="0" applyNumberFormat="1" applyFont="1" applyProtection="1"/>
    <xf numFmtId="1" fontId="1" fillId="0" borderId="0" xfId="0" applyNumberFormat="1" applyFont="1" applyProtection="1"/>
    <xf numFmtId="2" fontId="1" fillId="0" borderId="0" xfId="0" applyNumberFormat="1" applyFont="1" applyProtection="1"/>
    <xf numFmtId="0" fontId="1" fillId="0" borderId="0" xfId="0" applyFont="1" applyProtection="1">
      <protection locked="0"/>
    </xf>
    <xf numFmtId="0" fontId="1" fillId="0" borderId="0" xfId="0" applyFont="1" applyFill="1" applyBorder="1" applyProtection="1"/>
    <xf numFmtId="14" fontId="1" fillId="0" borderId="0" xfId="0" applyNumberFormat="1" applyFont="1" applyProtection="1"/>
    <xf numFmtId="0" fontId="1" fillId="0" borderId="0" xfId="0" applyFont="1" applyFill="1" applyBorder="1" applyAlignment="1" applyProtection="1">
      <alignment horizontal="center"/>
    </xf>
    <xf numFmtId="169" fontId="1" fillId="0" borderId="0" xfId="0" applyNumberFormat="1" applyFont="1" applyFill="1" applyBorder="1" applyAlignment="1" applyProtection="1">
      <alignment horizontal="center"/>
    </xf>
    <xf numFmtId="20" fontId="1" fillId="0" borderId="1" xfId="0" applyNumberFormat="1" applyFont="1" applyBorder="1"/>
    <xf numFmtId="0" fontId="10" fillId="0" borderId="0" xfId="0" applyFont="1" applyFill="1" applyBorder="1" applyAlignment="1" applyProtection="1">
      <alignment horizontal="center" vertical="center"/>
    </xf>
    <xf numFmtId="2" fontId="1" fillId="0" borderId="30" xfId="0" applyNumberFormat="1" applyFont="1" applyFill="1" applyBorder="1" applyAlignment="1" applyProtection="1">
      <alignment horizontal="centerContinuous"/>
    </xf>
    <xf numFmtId="0" fontId="4" fillId="4" borderId="14" xfId="0" applyFont="1" applyFill="1" applyBorder="1" applyAlignment="1" applyProtection="1">
      <alignment horizontal="center"/>
    </xf>
    <xf numFmtId="0" fontId="4" fillId="0" borderId="15" xfId="0" applyFont="1" applyFill="1" applyBorder="1" applyAlignment="1" applyProtection="1">
      <alignment horizontal="center"/>
    </xf>
    <xf numFmtId="20" fontId="4" fillId="0" borderId="15" xfId="0" applyNumberFormat="1" applyFont="1" applyFill="1" applyBorder="1" applyAlignment="1" applyProtection="1">
      <alignment horizontal="center"/>
    </xf>
    <xf numFmtId="2" fontId="4" fillId="0" borderId="15" xfId="0" applyNumberFormat="1" applyFont="1" applyFill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2" fontId="4" fillId="0" borderId="28" xfId="0" applyNumberFormat="1" applyFont="1" applyFill="1" applyBorder="1" applyAlignment="1" applyProtection="1">
      <alignment horizontal="center"/>
    </xf>
    <xf numFmtId="2" fontId="4" fillId="0" borderId="16" xfId="0" applyNumberFormat="1" applyFont="1" applyFill="1" applyBorder="1" applyAlignment="1" applyProtection="1"/>
    <xf numFmtId="0" fontId="1" fillId="0" borderId="0" xfId="0" applyFont="1" applyAlignment="1" applyProtection="1"/>
    <xf numFmtId="0" fontId="1" fillId="0" borderId="0" xfId="0" applyFont="1" applyAlignment="1" applyProtection="1">
      <alignment horizontal="center"/>
    </xf>
    <xf numFmtId="166" fontId="1" fillId="0" borderId="35" xfId="0" applyNumberFormat="1" applyFont="1" applyFill="1" applyBorder="1" applyProtection="1"/>
    <xf numFmtId="0" fontId="1" fillId="0" borderId="6" xfId="0" applyFont="1" applyFill="1" applyBorder="1" applyProtection="1"/>
    <xf numFmtId="43" fontId="4" fillId="0" borderId="6" xfId="0" applyNumberFormat="1" applyFont="1" applyFill="1" applyBorder="1" applyProtection="1"/>
    <xf numFmtId="2" fontId="1" fillId="0" borderId="6" xfId="0" applyNumberFormat="1" applyFont="1" applyFill="1" applyBorder="1" applyProtection="1">
      <protection locked="0"/>
    </xf>
    <xf numFmtId="20" fontId="1" fillId="0" borderId="6" xfId="0" applyNumberFormat="1" applyFont="1" applyFill="1" applyBorder="1" applyProtection="1">
      <protection locked="0"/>
    </xf>
    <xf numFmtId="2" fontId="1" fillId="0" borderId="36" xfId="0" applyNumberFormat="1" applyFont="1" applyFill="1" applyBorder="1" applyProtection="1">
      <protection locked="0"/>
    </xf>
    <xf numFmtId="2" fontId="1" fillId="0" borderId="12" xfId="0" applyNumberFormat="1" applyFont="1" applyFill="1" applyBorder="1" applyAlignment="1" applyProtection="1"/>
    <xf numFmtId="2" fontId="1" fillId="0" borderId="0" xfId="0" applyNumberFormat="1" applyFont="1" applyFill="1" applyBorder="1" applyAlignment="1" applyProtection="1">
      <alignment horizontal="center"/>
    </xf>
    <xf numFmtId="2" fontId="1" fillId="0" borderId="37" xfId="0" applyNumberFormat="1" applyFont="1" applyFill="1" applyBorder="1" applyProtection="1">
      <protection locked="0"/>
    </xf>
    <xf numFmtId="2" fontId="1" fillId="0" borderId="6" xfId="0" applyNumberFormat="1" applyFont="1" applyFill="1" applyBorder="1" applyAlignment="1" applyProtection="1">
      <alignment horizontal="right"/>
      <protection locked="0"/>
    </xf>
    <xf numFmtId="20" fontId="1" fillId="0" borderId="6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/>
      <protection locked="0"/>
    </xf>
    <xf numFmtId="0" fontId="1" fillId="0" borderId="17" xfId="0" applyFont="1" applyFill="1" applyBorder="1" applyProtection="1"/>
    <xf numFmtId="2" fontId="1" fillId="0" borderId="10" xfId="0" applyNumberFormat="1" applyFont="1" applyFill="1" applyBorder="1" applyAlignment="1" applyProtection="1">
      <alignment horizontal="right"/>
      <protection locked="0"/>
    </xf>
    <xf numFmtId="20" fontId="1" fillId="0" borderId="10" xfId="0" applyNumberFormat="1" applyFont="1" applyFill="1" applyBorder="1" applyAlignment="1" applyProtection="1">
      <alignment horizontal="right"/>
      <protection locked="0"/>
    </xf>
    <xf numFmtId="2" fontId="1" fillId="0" borderId="10" xfId="0" applyNumberFormat="1" applyFont="1" applyFill="1" applyBorder="1" applyProtection="1">
      <protection locked="0"/>
    </xf>
    <xf numFmtId="2" fontId="1" fillId="0" borderId="38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/>
    <xf numFmtId="0" fontId="1" fillId="0" borderId="0" xfId="0" applyFont="1" applyFill="1" applyBorder="1" applyProtection="1">
      <protection locked="0"/>
    </xf>
    <xf numFmtId="0" fontId="1" fillId="0" borderId="0" xfId="0" applyFont="1" applyFill="1" applyBorder="1"/>
    <xf numFmtId="16" fontId="1" fillId="0" borderId="18" xfId="0" applyNumberFormat="1" applyFont="1" applyFill="1" applyBorder="1" applyProtection="1"/>
    <xf numFmtId="0" fontId="1" fillId="0" borderId="8" xfId="0" applyFont="1" applyBorder="1"/>
    <xf numFmtId="168" fontId="1" fillId="0" borderId="8" xfId="0" applyNumberFormat="1" applyFont="1" applyFill="1" applyBorder="1" applyProtection="1"/>
    <xf numFmtId="2" fontId="4" fillId="2" borderId="8" xfId="0" applyNumberFormat="1" applyFont="1" applyFill="1" applyBorder="1" applyProtection="1">
      <protection locked="0"/>
    </xf>
    <xf numFmtId="2" fontId="1" fillId="0" borderId="14" xfId="0" applyNumberFormat="1" applyFont="1" applyFill="1" applyBorder="1" applyProtection="1"/>
    <xf numFmtId="2" fontId="1" fillId="0" borderId="15" xfId="0" applyNumberFormat="1" applyFont="1" applyFill="1" applyBorder="1" applyProtection="1"/>
    <xf numFmtId="168" fontId="1" fillId="3" borderId="21" xfId="0" applyNumberFormat="1" applyFont="1" applyFill="1" applyBorder="1" applyProtection="1"/>
    <xf numFmtId="2" fontId="1" fillId="0" borderId="16" xfId="0" applyNumberFormat="1" applyFont="1" applyFill="1" applyBorder="1" applyProtection="1"/>
    <xf numFmtId="168" fontId="1" fillId="0" borderId="7" xfId="0" applyNumberFormat="1" applyFont="1" applyFill="1" applyBorder="1" applyAlignment="1" applyProtection="1"/>
    <xf numFmtId="2" fontId="1" fillId="0" borderId="0" xfId="0" applyNumberFormat="1" applyFont="1" applyAlignment="1" applyProtection="1">
      <alignment horizontal="center"/>
    </xf>
    <xf numFmtId="0" fontId="1" fillId="0" borderId="30" xfId="0" applyFont="1" applyFill="1" applyBorder="1" applyProtection="1"/>
    <xf numFmtId="0" fontId="1" fillId="0" borderId="19" xfId="0" applyFont="1" applyFill="1" applyBorder="1"/>
    <xf numFmtId="168" fontId="1" fillId="0" borderId="19" xfId="0" applyNumberFormat="1" applyFont="1" applyFill="1" applyBorder="1" applyProtection="1"/>
    <xf numFmtId="2" fontId="1" fillId="0" borderId="19" xfId="0" applyNumberFormat="1" applyFont="1" applyFill="1" applyBorder="1" applyProtection="1"/>
    <xf numFmtId="168" fontId="1" fillId="0" borderId="19" xfId="0" applyNumberFormat="1" applyFont="1" applyFill="1" applyBorder="1" applyAlignment="1" applyProtection="1">
      <alignment horizontal="left"/>
    </xf>
    <xf numFmtId="0" fontId="1" fillId="0" borderId="19" xfId="0" applyFont="1" applyBorder="1"/>
    <xf numFmtId="168" fontId="1" fillId="0" borderId="34" xfId="0" applyNumberFormat="1" applyFont="1" applyFill="1" applyBorder="1" applyAlignment="1" applyProtection="1"/>
    <xf numFmtId="1" fontId="4" fillId="0" borderId="0" xfId="0" applyNumberFormat="1" applyFont="1" applyFill="1" applyBorder="1" applyProtection="1"/>
    <xf numFmtId="1" fontId="1" fillId="0" borderId="0" xfId="0" applyNumberFormat="1" applyFont="1" applyFill="1" applyBorder="1" applyProtection="1"/>
    <xf numFmtId="16" fontId="1" fillId="0" borderId="0" xfId="0" applyNumberFormat="1" applyFont="1" applyFill="1" applyBorder="1" applyProtection="1"/>
    <xf numFmtId="168" fontId="1" fillId="0" borderId="0" xfId="0" applyNumberFormat="1" applyFont="1" applyFill="1" applyBorder="1" applyProtection="1"/>
    <xf numFmtId="2" fontId="12" fillId="0" borderId="0" xfId="0" applyNumberFormat="1" applyFont="1" applyFill="1" applyBorder="1" applyProtection="1"/>
    <xf numFmtId="168" fontId="1" fillId="0" borderId="0" xfId="0" applyNumberFormat="1" applyFont="1" applyFill="1" applyBorder="1" applyAlignment="1" applyProtection="1">
      <alignment horizontal="left"/>
    </xf>
    <xf numFmtId="2" fontId="1" fillId="0" borderId="0" xfId="0" applyNumberFormat="1" applyFont="1" applyFill="1" applyBorder="1" applyProtection="1"/>
    <xf numFmtId="0" fontId="4" fillId="0" borderId="20" xfId="0" applyFont="1" applyBorder="1" applyAlignment="1" applyProtection="1">
      <alignment horizontal="centerContinuous"/>
    </xf>
    <xf numFmtId="0" fontId="1" fillId="0" borderId="21" xfId="0" applyFont="1" applyFill="1" applyBorder="1" applyAlignment="1" applyProtection="1">
      <alignment horizontal="centerContinuous"/>
    </xf>
    <xf numFmtId="0" fontId="1" fillId="0" borderId="21" xfId="0" applyFont="1" applyBorder="1" applyAlignment="1" applyProtection="1">
      <alignment horizontal="centerContinuous"/>
    </xf>
    <xf numFmtId="0" fontId="1" fillId="0" borderId="16" xfId="0" applyFont="1" applyBorder="1" applyAlignment="1" applyProtection="1">
      <alignment horizontal="centerContinuous"/>
    </xf>
    <xf numFmtId="168" fontId="4" fillId="0" borderId="31" xfId="0" applyNumberFormat="1" applyFont="1" applyFill="1" applyBorder="1" applyAlignment="1" applyProtection="1">
      <alignment horizontal="left"/>
    </xf>
    <xf numFmtId="2" fontId="12" fillId="0" borderId="32" xfId="0" applyNumberFormat="1" applyFont="1" applyFill="1" applyBorder="1" applyAlignment="1" applyProtection="1">
      <alignment horizontal="centerContinuous"/>
    </xf>
    <xf numFmtId="0" fontId="1" fillId="0" borderId="32" xfId="0" applyFont="1" applyBorder="1" applyAlignment="1" applyProtection="1">
      <alignment horizontal="centerContinuous"/>
    </xf>
    <xf numFmtId="0" fontId="1" fillId="0" borderId="39" xfId="0" applyFont="1" applyBorder="1"/>
    <xf numFmtId="168" fontId="1" fillId="0" borderId="0" xfId="0" applyNumberFormat="1" applyFont="1" applyFill="1" applyBorder="1" applyAlignment="1" applyProtection="1"/>
    <xf numFmtId="2" fontId="1" fillId="0" borderId="0" xfId="0" applyNumberFormat="1" applyFont="1"/>
    <xf numFmtId="16" fontId="1" fillId="0" borderId="22" xfId="0" applyNumberFormat="1" applyFont="1" applyFill="1" applyBorder="1" applyAlignment="1" applyProtection="1">
      <alignment horizontal="centerContinuous"/>
    </xf>
    <xf numFmtId="0" fontId="1" fillId="0" borderId="23" xfId="0" applyFont="1" applyBorder="1" applyAlignment="1" applyProtection="1">
      <alignment horizontal="centerContinuous"/>
    </xf>
    <xf numFmtId="0" fontId="1" fillId="0" borderId="24" xfId="0" applyFont="1" applyBorder="1" applyAlignment="1" applyProtection="1">
      <alignment horizontal="centerContinuous"/>
    </xf>
    <xf numFmtId="20" fontId="1" fillId="0" borderId="33" xfId="0" applyNumberFormat="1" applyFont="1" applyFill="1" applyBorder="1" applyProtection="1"/>
    <xf numFmtId="0" fontId="1" fillId="0" borderId="1" xfId="0" applyFont="1" applyFill="1" applyBorder="1" applyProtection="1"/>
    <xf numFmtId="168" fontId="1" fillId="0" borderId="1" xfId="0" applyNumberFormat="1" applyFont="1" applyFill="1" applyBorder="1" applyProtection="1"/>
    <xf numFmtId="0" fontId="1" fillId="0" borderId="12" xfId="0" applyFont="1" applyFill="1" applyBorder="1"/>
    <xf numFmtId="0" fontId="1" fillId="0" borderId="0" xfId="0" applyFont="1" applyBorder="1" applyProtection="1"/>
    <xf numFmtId="20" fontId="1" fillId="0" borderId="22" xfId="0" applyNumberFormat="1" applyFont="1" applyFill="1" applyBorder="1" applyProtection="1"/>
    <xf numFmtId="0" fontId="1" fillId="0" borderId="23" xfId="0" applyFont="1" applyFill="1" applyBorder="1" applyProtection="1"/>
    <xf numFmtId="168" fontId="1" fillId="0" borderId="23" xfId="0" applyNumberFormat="1" applyFont="1" applyFill="1" applyBorder="1" applyProtection="1"/>
    <xf numFmtId="0" fontId="1" fillId="0" borderId="24" xfId="0" applyFont="1" applyFill="1" applyBorder="1"/>
    <xf numFmtId="0" fontId="1" fillId="0" borderId="0" xfId="0" applyFont="1" applyAlignment="1" applyProtection="1">
      <alignment horizontal="centerContinuous"/>
    </xf>
    <xf numFmtId="20" fontId="1" fillId="0" borderId="22" xfId="0" applyNumberFormat="1" applyFont="1" applyFill="1" applyBorder="1" applyAlignment="1" applyProtection="1"/>
    <xf numFmtId="16" fontId="1" fillId="0" borderId="25" xfId="0" applyNumberFormat="1" applyFont="1" applyFill="1" applyBorder="1" applyAlignment="1" applyProtection="1">
      <alignment horizontal="centerContinuous"/>
    </xf>
    <xf numFmtId="0" fontId="1" fillId="0" borderId="26" xfId="0" applyFont="1" applyBorder="1" applyAlignment="1" applyProtection="1">
      <alignment horizontal="centerContinuous"/>
    </xf>
    <xf numFmtId="0" fontId="1" fillId="0" borderId="27" xfId="0" applyFont="1" applyBorder="1" applyAlignment="1" applyProtection="1">
      <alignment horizontal="centerContinuous"/>
    </xf>
    <xf numFmtId="20" fontId="1" fillId="0" borderId="23" xfId="0" applyNumberFormat="1" applyFont="1" applyFill="1" applyBorder="1" applyProtection="1"/>
    <xf numFmtId="0" fontId="1" fillId="0" borderId="24" xfId="0" applyFont="1" applyBorder="1"/>
    <xf numFmtId="0" fontId="1" fillId="0" borderId="0" xfId="0" applyFont="1" applyBorder="1"/>
    <xf numFmtId="20" fontId="1" fillId="0" borderId="25" xfId="0" applyNumberFormat="1" applyFont="1" applyFill="1" applyBorder="1" applyProtection="1"/>
    <xf numFmtId="0" fontId="1" fillId="0" borderId="26" xfId="0" applyFont="1" applyFill="1" applyBorder="1" applyProtection="1"/>
    <xf numFmtId="20" fontId="1" fillId="0" borderId="26" xfId="0" applyNumberFormat="1" applyFont="1" applyFill="1" applyBorder="1" applyProtection="1"/>
    <xf numFmtId="0" fontId="1" fillId="0" borderId="27" xfId="0" applyFont="1" applyBorder="1"/>
    <xf numFmtId="20" fontId="1" fillId="0" borderId="0" xfId="0" applyNumberFormat="1" applyFont="1" applyFill="1" applyBorder="1" applyProtection="1"/>
    <xf numFmtId="16" fontId="4" fillId="0" borderId="14" xfId="0" applyNumberFormat="1" applyFont="1" applyFill="1" applyBorder="1" applyAlignment="1" applyProtection="1">
      <alignment horizontal="center"/>
    </xf>
    <xf numFmtId="2" fontId="4" fillId="0" borderId="34" xfId="0" applyNumberFormat="1" applyFont="1" applyFill="1" applyBorder="1" applyAlignment="1" applyProtection="1">
      <alignment horizontal="center"/>
    </xf>
    <xf numFmtId="167" fontId="1" fillId="0" borderId="6" xfId="0" applyNumberFormat="1" applyFont="1" applyFill="1" applyBorder="1" applyProtection="1">
      <protection locked="0"/>
    </xf>
    <xf numFmtId="167" fontId="1" fillId="0" borderId="10" xfId="0" applyNumberFormat="1" applyFont="1" applyFill="1" applyBorder="1" applyProtection="1">
      <protection locked="0"/>
    </xf>
    <xf numFmtId="0" fontId="1" fillId="0" borderId="18" xfId="0" applyFont="1" applyFill="1" applyBorder="1" applyProtection="1"/>
    <xf numFmtId="0" fontId="1" fillId="0" borderId="8" xfId="0" applyFont="1" applyFill="1" applyBorder="1" applyProtection="1"/>
    <xf numFmtId="2" fontId="1" fillId="0" borderId="28" xfId="0" applyNumberFormat="1" applyFont="1" applyFill="1" applyBorder="1" applyProtection="1"/>
    <xf numFmtId="2" fontId="1" fillId="0" borderId="21" xfId="0" applyNumberFormat="1" applyFont="1" applyFill="1" applyBorder="1" applyProtection="1"/>
    <xf numFmtId="168" fontId="1" fillId="0" borderId="7" xfId="0" applyNumberFormat="1" applyFont="1" applyFill="1" applyBorder="1" applyProtection="1"/>
    <xf numFmtId="0" fontId="1" fillId="0" borderId="29" xfId="0" applyFont="1" applyFill="1" applyBorder="1" applyProtection="1"/>
    <xf numFmtId="2" fontId="1" fillId="0" borderId="0" xfId="0" applyNumberFormat="1" applyFont="1" applyFill="1" applyBorder="1" applyProtection="1">
      <protection locked="0"/>
    </xf>
    <xf numFmtId="168" fontId="1" fillId="0" borderId="11" xfId="0" applyNumberFormat="1" applyFont="1" applyFill="1" applyBorder="1" applyProtection="1"/>
    <xf numFmtId="168" fontId="1" fillId="0" borderId="34" xfId="0" applyNumberFormat="1" applyFont="1" applyFill="1" applyBorder="1" applyProtection="1"/>
    <xf numFmtId="0" fontId="1" fillId="0" borderId="20" xfId="0" applyFont="1" applyFill="1" applyBorder="1" applyProtection="1"/>
    <xf numFmtId="0" fontId="1" fillId="0" borderId="21" xfId="0" applyFont="1" applyFill="1" applyBorder="1" applyProtection="1"/>
    <xf numFmtId="20" fontId="1" fillId="0" borderId="21" xfId="0" applyNumberFormat="1" applyFont="1" applyFill="1" applyBorder="1" applyProtection="1"/>
    <xf numFmtId="2" fontId="13" fillId="0" borderId="16" xfId="0" applyNumberFormat="1" applyFont="1" applyFill="1" applyBorder="1" applyAlignment="1" applyProtection="1">
      <alignment horizontal="center"/>
    </xf>
    <xf numFmtId="2" fontId="1" fillId="0" borderId="20" xfId="0" applyNumberFormat="1" applyFont="1" applyFill="1" applyBorder="1" applyProtection="1"/>
    <xf numFmtId="2" fontId="14" fillId="0" borderId="0" xfId="0" applyNumberFormat="1" applyFont="1" applyFill="1" applyBorder="1" applyProtection="1"/>
    <xf numFmtId="0" fontId="4" fillId="0" borderId="0" xfId="0" applyFont="1" applyFill="1" applyBorder="1"/>
    <xf numFmtId="2" fontId="1" fillId="0" borderId="31" xfId="0" applyNumberFormat="1" applyFont="1" applyFill="1" applyBorder="1" applyProtection="1"/>
    <xf numFmtId="2" fontId="1" fillId="0" borderId="32" xfId="0" applyNumberFormat="1" applyFont="1" applyFill="1" applyBorder="1" applyProtection="1"/>
    <xf numFmtId="0" fontId="1" fillId="0" borderId="32" xfId="0" applyFont="1" applyBorder="1" applyProtection="1"/>
    <xf numFmtId="2" fontId="1" fillId="0" borderId="7" xfId="0" applyNumberFormat="1" applyFont="1" applyFill="1" applyBorder="1" applyAlignment="1" applyProtection="1">
      <alignment horizontal="center"/>
    </xf>
    <xf numFmtId="2" fontId="12" fillId="0" borderId="0" xfId="0" applyNumberFormat="1" applyFont="1" applyFill="1" applyBorder="1" applyAlignment="1" applyProtection="1">
      <alignment horizontal="centerContinuous"/>
    </xf>
    <xf numFmtId="2" fontId="1" fillId="0" borderId="33" xfId="0" applyNumberFormat="1" applyFont="1" applyFill="1" applyBorder="1" applyProtection="1"/>
    <xf numFmtId="2" fontId="1" fillId="0" borderId="23" xfId="0" applyNumberFormat="1" applyFont="1" applyFill="1" applyBorder="1" applyProtection="1"/>
    <xf numFmtId="0" fontId="1" fillId="0" borderId="23" xfId="0" applyFont="1" applyBorder="1" applyProtection="1"/>
    <xf numFmtId="2" fontId="1" fillId="0" borderId="24" xfId="0" applyNumberFormat="1" applyFont="1" applyFill="1" applyBorder="1" applyAlignment="1" applyProtection="1">
      <alignment horizontal="center"/>
    </xf>
    <xf numFmtId="2" fontId="15" fillId="0" borderId="0" xfId="0" applyNumberFormat="1" applyFont="1" applyFill="1" applyBorder="1" applyAlignment="1" applyProtection="1">
      <alignment horizontal="center"/>
    </xf>
    <xf numFmtId="2" fontId="1" fillId="0" borderId="1" xfId="0" applyNumberFormat="1" applyFont="1" applyFill="1" applyBorder="1" applyProtection="1"/>
    <xf numFmtId="2" fontId="12" fillId="0" borderId="0" xfId="0" applyNumberFormat="1" applyFont="1" applyFill="1" applyBorder="1" applyAlignment="1" applyProtection="1">
      <alignment horizontal="center"/>
    </xf>
    <xf numFmtId="0" fontId="11" fillId="0" borderId="0" xfId="0" applyFont="1"/>
    <xf numFmtId="43" fontId="11" fillId="0" borderId="0" xfId="0" applyNumberFormat="1" applyFont="1"/>
    <xf numFmtId="2" fontId="1" fillId="0" borderId="30" xfId="0" applyNumberFormat="1" applyFont="1" applyFill="1" applyBorder="1" applyProtection="1"/>
    <xf numFmtId="0" fontId="1" fillId="0" borderId="26" xfId="0" applyFont="1" applyBorder="1" applyProtection="1"/>
    <xf numFmtId="2" fontId="1" fillId="0" borderId="27" xfId="0" applyNumberFormat="1" applyFont="1" applyFill="1" applyBorder="1" applyAlignment="1" applyProtection="1">
      <alignment horizontal="center"/>
    </xf>
    <xf numFmtId="0" fontId="1" fillId="0" borderId="19" xfId="0" applyFont="1" applyBorder="1" applyAlignment="1" applyProtection="1">
      <alignment horizontal="center"/>
    </xf>
    <xf numFmtId="0" fontId="11" fillId="0" borderId="0" xfId="0" applyFont="1" applyAlignment="1">
      <alignment horizontal="center" vertical="center"/>
    </xf>
    <xf numFmtId="43" fontId="11" fillId="0" borderId="0" xfId="0" applyNumberFormat="1" applyFont="1" applyAlignment="1">
      <alignment horizontal="center" vertical="center"/>
    </xf>
    <xf numFmtId="0" fontId="16" fillId="0" borderId="0" xfId="0" applyFont="1" applyFill="1" applyBorder="1" applyAlignment="1" applyProtection="1">
      <alignment horizontal="center"/>
    </xf>
    <xf numFmtId="0" fontId="11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center"/>
    </xf>
    <xf numFmtId="2" fontId="11" fillId="0" borderId="0" xfId="0" applyNumberFormat="1" applyFont="1" applyFill="1" applyBorder="1" applyAlignment="1" applyProtection="1">
      <alignment horizontal="center"/>
    </xf>
    <xf numFmtId="20" fontId="1" fillId="0" borderId="0" xfId="0" applyNumberFormat="1" applyFont="1" applyFill="1" applyBorder="1" applyProtection="1">
      <protection locked="0"/>
    </xf>
    <xf numFmtId="1" fontId="1" fillId="0" borderId="0" xfId="0" applyNumberFormat="1" applyFont="1" applyFill="1" applyBorder="1" applyProtection="1">
      <protection locked="0"/>
    </xf>
    <xf numFmtId="0" fontId="1" fillId="0" borderId="19" xfId="0" applyFont="1" applyFill="1" applyBorder="1" applyAlignment="1" applyProtection="1">
      <alignment horizontal="center"/>
      <protection locked="0"/>
    </xf>
    <xf numFmtId="0" fontId="1" fillId="0" borderId="19" xfId="0" applyFont="1" applyFill="1" applyBorder="1" applyProtection="1">
      <protection locked="0"/>
    </xf>
    <xf numFmtId="2" fontId="1" fillId="0" borderId="19" xfId="0" applyNumberFormat="1" applyFont="1" applyBorder="1" applyProtection="1">
      <protection locked="0"/>
    </xf>
    <xf numFmtId="0" fontId="1" fillId="0" borderId="0" xfId="0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0" fontId="1" fillId="0" borderId="0" xfId="0" applyNumberFormat="1" applyFont="1" applyProtection="1">
      <protection locked="0"/>
    </xf>
    <xf numFmtId="20" fontId="1" fillId="0" borderId="0" xfId="0" applyNumberFormat="1" applyFont="1" applyBorder="1" applyProtection="1">
      <protection locked="0"/>
    </xf>
    <xf numFmtId="2" fontId="1" fillId="0" borderId="0" xfId="0" applyNumberFormat="1" applyFont="1" applyProtection="1">
      <protection locked="0"/>
    </xf>
    <xf numFmtId="1" fontId="1" fillId="0" borderId="0" xfId="0" applyNumberFormat="1" applyFont="1" applyProtection="1">
      <protection locked="0"/>
    </xf>
    <xf numFmtId="20" fontId="1" fillId="0" borderId="0" xfId="0" applyNumberFormat="1" applyFont="1"/>
    <xf numFmtId="1" fontId="1" fillId="0" borderId="0" xfId="0" applyNumberFormat="1" applyFont="1"/>
    <xf numFmtId="14" fontId="1" fillId="0" borderId="1" xfId="0" applyNumberFormat="1" applyFont="1" applyFill="1" applyBorder="1" applyAlignment="1" applyProtection="1">
      <alignment horizontal="center"/>
    </xf>
    <xf numFmtId="0" fontId="17" fillId="0" borderId="0" xfId="0" applyFont="1" applyBorder="1" applyProtection="1"/>
    <xf numFmtId="2" fontId="1" fillId="0" borderId="0" xfId="0" applyNumberFormat="1" applyFont="1" applyFill="1" applyBorder="1" applyAlignment="1" applyProtection="1">
      <alignment horizontal="centerContinuous"/>
    </xf>
    <xf numFmtId="20" fontId="1" fillId="0" borderId="19" xfId="0" applyNumberFormat="1" applyFont="1" applyFill="1" applyBorder="1" applyProtection="1"/>
    <xf numFmtId="0" fontId="1" fillId="0" borderId="19" xfId="0" applyFont="1" applyFill="1" applyBorder="1" applyProtection="1"/>
    <xf numFmtId="2" fontId="1" fillId="0" borderId="19" xfId="0" applyNumberFormat="1" applyFont="1" applyFill="1" applyBorder="1" applyAlignment="1" applyProtection="1">
      <alignment horizontal="centerContinuous"/>
    </xf>
    <xf numFmtId="2" fontId="1" fillId="2" borderId="1" xfId="0" applyNumberFormat="1" applyFont="1" applyFill="1" applyBorder="1" applyAlignment="1" applyProtection="1">
      <alignment horizontal="right"/>
      <protection locked="0"/>
    </xf>
    <xf numFmtId="43" fontId="1" fillId="2" borderId="13" xfId="1" applyFont="1" applyFill="1" applyBorder="1" applyAlignment="1" applyProtection="1">
      <protection locked="0"/>
    </xf>
    <xf numFmtId="0" fontId="1" fillId="0" borderId="0" xfId="0" applyNumberFormat="1" applyFont="1" applyBorder="1" applyProtection="1">
      <protection locked="0"/>
    </xf>
    <xf numFmtId="14" fontId="1" fillId="0" borderId="0" xfId="0" applyNumberFormat="1" applyFont="1"/>
    <xf numFmtId="14" fontId="1" fillId="0" borderId="1" xfId="0" applyNumberFormat="1" applyFont="1" applyBorder="1"/>
    <xf numFmtId="0" fontId="1" fillId="0" borderId="7" xfId="0" applyFont="1" applyBorder="1"/>
    <xf numFmtId="0" fontId="4" fillId="0" borderId="8" xfId="0" applyFont="1" applyBorder="1" applyAlignment="1">
      <alignment horizontal="centerContinuous"/>
    </xf>
    <xf numFmtId="0" fontId="1" fillId="0" borderId="8" xfId="0" applyFont="1" applyBorder="1" applyAlignment="1">
      <alignment horizontal="centerContinuous"/>
    </xf>
    <xf numFmtId="0" fontId="1" fillId="0" borderId="7" xfId="0" applyFont="1" applyBorder="1" applyAlignment="1">
      <alignment horizontal="centerContinuous"/>
    </xf>
    <xf numFmtId="0" fontId="4" fillId="0" borderId="11" xfId="0" applyFont="1" applyBorder="1"/>
    <xf numFmtId="2" fontId="1" fillId="0" borderId="11" xfId="0" applyNumberFormat="1" applyFont="1" applyBorder="1" applyAlignment="1"/>
    <xf numFmtId="2" fontId="1" fillId="0" borderId="11" xfId="0" applyNumberFormat="1" applyFont="1" applyBorder="1"/>
    <xf numFmtId="0" fontId="4" fillId="0" borderId="11" xfId="0" applyFont="1" applyFill="1" applyBorder="1"/>
    <xf numFmtId="0" fontId="1" fillId="0" borderId="11" xfId="0" applyFont="1" applyBorder="1" applyAlignment="1"/>
    <xf numFmtId="0" fontId="4" fillId="0" borderId="34" xfId="0" applyFont="1" applyFill="1" applyBorder="1"/>
    <xf numFmtId="0" fontId="4" fillId="0" borderId="30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4" xfId="0" applyFont="1" applyBorder="1"/>
    <xf numFmtId="0" fontId="1" fillId="0" borderId="11" xfId="0" applyFont="1" applyFill="1" applyBorder="1"/>
    <xf numFmtId="43" fontId="4" fillId="3" borderId="18" xfId="0" applyNumberFormat="1" applyFont="1" applyFill="1" applyBorder="1"/>
    <xf numFmtId="0" fontId="4" fillId="3" borderId="8" xfId="0" applyFont="1" applyFill="1" applyBorder="1"/>
    <xf numFmtId="2" fontId="4" fillId="2" borderId="13" xfId="0" applyNumberFormat="1" applyFont="1" applyFill="1" applyBorder="1" applyProtection="1">
      <protection locked="0"/>
    </xf>
    <xf numFmtId="43" fontId="4" fillId="5" borderId="18" xfId="0" applyNumberFormat="1" applyFont="1" applyFill="1" applyBorder="1"/>
    <xf numFmtId="0" fontId="4" fillId="3" borderId="18" xfId="0" applyFont="1" applyFill="1" applyBorder="1"/>
    <xf numFmtId="165" fontId="1" fillId="0" borderId="11" xfId="0" applyNumberFormat="1" applyFont="1" applyFill="1" applyBorder="1" applyProtection="1"/>
    <xf numFmtId="2" fontId="1" fillId="0" borderId="29" xfId="0" applyNumberFormat="1" applyFont="1" applyBorder="1" applyProtection="1"/>
    <xf numFmtId="2" fontId="1" fillId="0" borderId="0" xfId="0" applyNumberFormat="1" applyFont="1" applyBorder="1" applyProtection="1"/>
    <xf numFmtId="2" fontId="1" fillId="0" borderId="11" xfId="0" applyNumberFormat="1" applyFont="1" applyBorder="1" applyProtection="1"/>
    <xf numFmtId="0" fontId="1" fillId="0" borderId="29" xfId="0" applyFont="1" applyBorder="1" applyProtection="1"/>
    <xf numFmtId="0" fontId="1" fillId="0" borderId="11" xfId="0" applyFont="1" applyBorder="1" applyProtection="1"/>
    <xf numFmtId="165" fontId="1" fillId="0" borderId="34" xfId="0" applyNumberFormat="1" applyFont="1" applyFill="1" applyBorder="1" applyProtection="1"/>
    <xf numFmtId="0" fontId="1" fillId="0" borderId="30" xfId="0" applyFont="1" applyBorder="1" applyProtection="1"/>
    <xf numFmtId="0" fontId="1" fillId="0" borderId="19" xfId="0" applyFont="1" applyBorder="1" applyProtection="1"/>
    <xf numFmtId="0" fontId="1" fillId="0" borderId="34" xfId="0" applyFont="1" applyBorder="1" applyProtection="1"/>
    <xf numFmtId="0" fontId="1" fillId="2" borderId="13" xfId="0" applyFont="1" applyFill="1" applyBorder="1" applyProtection="1">
      <protection locked="0"/>
    </xf>
    <xf numFmtId="0" fontId="1" fillId="0" borderId="0" xfId="0" quotePrefix="1" applyFont="1" applyAlignment="1">
      <alignment horizontal="right"/>
    </xf>
    <xf numFmtId="0" fontId="10" fillId="0" borderId="0" xfId="0" applyFont="1"/>
    <xf numFmtId="14" fontId="1" fillId="0" borderId="0" xfId="0" applyNumberFormat="1" applyFont="1" applyBorder="1" applyProtection="1">
      <protection locked="0"/>
    </xf>
    <xf numFmtId="2" fontId="1" fillId="0" borderId="1" xfId="0" applyNumberFormat="1" applyFont="1" applyBorder="1"/>
    <xf numFmtId="0" fontId="1" fillId="0" borderId="0" xfId="0" quotePrefix="1" applyFont="1" applyBorder="1"/>
    <xf numFmtId="2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4" fontId="1" fillId="0" borderId="0" xfId="0" applyNumberFormat="1" applyFont="1" applyBorder="1"/>
    <xf numFmtId="164" fontId="1" fillId="0" borderId="0" xfId="0" applyNumberFormat="1" applyFont="1" applyBorder="1"/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4" fillId="0" borderId="0" xfId="0" applyNumberFormat="1" applyFont="1" applyFill="1" applyBorder="1" applyAlignment="1">
      <alignment horizontal="centerContinuous"/>
    </xf>
    <xf numFmtId="0" fontId="1" fillId="0" borderId="0" xfId="0" applyNumberFormat="1" applyFont="1" applyFill="1" applyBorder="1" applyAlignment="1">
      <alignment horizontal="centerContinuous"/>
    </xf>
    <xf numFmtId="0" fontId="1" fillId="0" borderId="9" xfId="0" applyFont="1" applyBorder="1"/>
    <xf numFmtId="0" fontId="1" fillId="0" borderId="10" xfId="0" applyFont="1" applyBorder="1"/>
    <xf numFmtId="0" fontId="4" fillId="0" borderId="0" xfId="0" applyNumberFormat="1" applyFont="1" applyFill="1" applyBorder="1"/>
    <xf numFmtId="0" fontId="1" fillId="0" borderId="0" xfId="0" applyNumberFormat="1" applyFont="1" applyFill="1" applyBorder="1" applyAlignment="1"/>
    <xf numFmtId="0" fontId="4" fillId="0" borderId="0" xfId="0" applyNumberFormat="1" applyFont="1" applyFill="1" applyBorder="1" applyAlignment="1"/>
    <xf numFmtId="0" fontId="1" fillId="0" borderId="5" xfId="0" applyFont="1" applyBorder="1"/>
    <xf numFmtId="0" fontId="1" fillId="0" borderId="1" xfId="0" applyFont="1" applyBorder="1"/>
    <xf numFmtId="0" fontId="1" fillId="0" borderId="6" xfId="0" applyFont="1" applyBorder="1"/>
    <xf numFmtId="0" fontId="1" fillId="0" borderId="0" xfId="0" applyFont="1" applyBorder="1" applyAlignment="1"/>
    <xf numFmtId="0" fontId="4" fillId="0" borderId="0" xfId="0" applyNumberFormat="1" applyFont="1" applyFill="1" applyBorder="1" applyProtection="1">
      <protection locked="0"/>
    </xf>
    <xf numFmtId="0" fontId="1" fillId="0" borderId="0" xfId="2" applyFont="1"/>
    <xf numFmtId="20" fontId="1" fillId="0" borderId="0" xfId="2" applyNumberFormat="1" applyFont="1"/>
    <xf numFmtId="20" fontId="1" fillId="0" borderId="0" xfId="2" quotePrefix="1" applyNumberFormat="1" applyFont="1" applyAlignment="1">
      <alignment horizontal="right"/>
    </xf>
    <xf numFmtId="14" fontId="1" fillId="0" borderId="0" xfId="0" applyNumberFormat="1" applyFont="1" applyFill="1" applyBorder="1" applyProtection="1">
      <protection locked="0"/>
    </xf>
    <xf numFmtId="43" fontId="1" fillId="7" borderId="0" xfId="1" applyFont="1" applyFill="1" applyBorder="1" applyAlignment="1" applyProtection="1">
      <alignment horizontal="center"/>
      <protection locked="0"/>
    </xf>
    <xf numFmtId="0" fontId="18" fillId="0" borderId="0" xfId="0" applyNumberFormat="1" applyFont="1" applyFill="1" applyBorder="1"/>
    <xf numFmtId="166" fontId="1" fillId="8" borderId="35" xfId="0" applyNumberFormat="1" applyFont="1" applyFill="1" applyBorder="1" applyProtection="1"/>
    <xf numFmtId="2" fontId="1" fillId="8" borderId="37" xfId="0" applyNumberFormat="1" applyFont="1" applyFill="1" applyBorder="1" applyProtection="1">
      <protection locked="0"/>
    </xf>
    <xf numFmtId="0" fontId="0" fillId="0" borderId="40" xfId="0" applyBorder="1"/>
    <xf numFmtId="0" fontId="11" fillId="0" borderId="0" xfId="0" applyFont="1" applyAlignment="1">
      <alignment horizontal="center" vertical="center"/>
    </xf>
    <xf numFmtId="43" fontId="11" fillId="0" borderId="0" xfId="0" applyNumberFormat="1" applyFont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/>
    </xf>
    <xf numFmtId="14" fontId="1" fillId="0" borderId="1" xfId="0" applyNumberFormat="1" applyFont="1" applyFill="1" applyBorder="1" applyAlignment="1" applyProtection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9" fillId="0" borderId="0" xfId="0" applyFont="1" applyFill="1" applyBorder="1" applyAlignment="1" applyProtection="1">
      <alignment horizontal="center"/>
    </xf>
    <xf numFmtId="0" fontId="2" fillId="0" borderId="0" xfId="2" applyFont="1" applyAlignment="1">
      <alignment horizontal="center"/>
    </xf>
    <xf numFmtId="0" fontId="10" fillId="2" borderId="23" xfId="0" applyFont="1" applyFill="1" applyBorder="1" applyAlignment="1" applyProtection="1">
      <alignment horizontal="left"/>
      <protection locked="0"/>
    </xf>
    <xf numFmtId="0" fontId="10" fillId="2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wrapText="1"/>
    </xf>
    <xf numFmtId="2" fontId="4" fillId="0" borderId="31" xfId="0" applyNumberFormat="1" applyFont="1" applyFill="1" applyBorder="1" applyAlignment="1" applyProtection="1">
      <alignment horizontal="center"/>
    </xf>
    <xf numFmtId="2" fontId="4" fillId="0" borderId="39" xfId="0" applyNumberFormat="1" applyFont="1" applyFill="1" applyBorder="1" applyAlignment="1" applyProtection="1">
      <alignment horizontal="center"/>
    </xf>
    <xf numFmtId="43" fontId="11" fillId="0" borderId="0" xfId="0" applyNumberFormat="1" applyFont="1" applyAlignment="1">
      <alignment horizontal="center" vertical="center"/>
    </xf>
    <xf numFmtId="20" fontId="11" fillId="0" borderId="19" xfId="0" applyNumberFormat="1" applyFont="1" applyBorder="1" applyAlignment="1" applyProtection="1">
      <alignment horizontal="center"/>
    </xf>
    <xf numFmtId="20" fontId="11" fillId="0" borderId="34" xfId="0" applyNumberFormat="1" applyFont="1" applyBorder="1" applyAlignment="1" applyProtection="1">
      <alignment horizontal="center"/>
    </xf>
    <xf numFmtId="2" fontId="11" fillId="0" borderId="19" xfId="0" applyNumberFormat="1" applyFont="1" applyFill="1" applyBorder="1" applyAlignment="1" applyProtection="1">
      <alignment horizont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2" fontId="11" fillId="0" borderId="21" xfId="0" applyNumberFormat="1" applyFont="1" applyFill="1" applyBorder="1" applyAlignment="1" applyProtection="1">
      <alignment horizontal="center"/>
    </xf>
    <xf numFmtId="2" fontId="11" fillId="0" borderId="16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170" fontId="1" fillId="0" borderId="1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/>
    </xf>
    <xf numFmtId="14" fontId="1" fillId="0" borderId="1" xfId="0" applyNumberFormat="1" applyFont="1" applyFill="1" applyBorder="1" applyAlignment="1" applyProtection="1">
      <alignment horizontal="center"/>
    </xf>
    <xf numFmtId="14" fontId="1" fillId="0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19" xfId="0" applyFont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Normal_Military Time Cheat Sheet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13</xdr:row>
          <xdr:rowOff>28575</xdr:rowOff>
        </xdr:from>
        <xdr:to>
          <xdr:col>12</xdr:col>
          <xdr:colOff>600075</xdr:colOff>
          <xdr:row>15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Holidays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</xdr:row>
          <xdr:rowOff>28575</xdr:rowOff>
        </xdr:from>
        <xdr:to>
          <xdr:col>13</xdr:col>
          <xdr:colOff>600075</xdr:colOff>
          <xdr:row>9</xdr:row>
          <xdr:rowOff>57150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28575</xdr:rowOff>
        </xdr:from>
        <xdr:to>
          <xdr:col>13</xdr:col>
          <xdr:colOff>600075</xdr:colOff>
          <xdr:row>7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388"/>
  <sheetViews>
    <sheetView topLeftCell="A22" workbookViewId="0">
      <selection activeCell="S23" sqref="S23"/>
    </sheetView>
  </sheetViews>
  <sheetFormatPr defaultColWidth="9.140625" defaultRowHeight="12.75" x14ac:dyDescent="0.2"/>
  <cols>
    <col min="1" max="1" width="9.85546875" style="23" customWidth="1"/>
    <col min="2" max="2" width="12.42578125" style="23" customWidth="1"/>
    <col min="3" max="3" width="10.5703125" style="23" customWidth="1"/>
    <col min="4" max="5" width="10.28515625" style="23" customWidth="1"/>
    <col min="6" max="6" width="10" style="23" customWidth="1"/>
    <col min="7" max="7" width="9.7109375" style="23" customWidth="1"/>
    <col min="8" max="8" width="10" style="23" customWidth="1"/>
    <col min="9" max="9" width="8.7109375" style="23" customWidth="1"/>
    <col min="10" max="10" width="9.42578125" style="23" customWidth="1"/>
    <col min="11" max="11" width="6.5703125" style="23" customWidth="1"/>
    <col min="12" max="12" width="9.140625" style="23" customWidth="1"/>
    <col min="13" max="13" width="18.140625" style="23" hidden="1" customWidth="1"/>
    <col min="14" max="14" width="15.140625" style="23" hidden="1" customWidth="1"/>
    <col min="15" max="15" width="14.28515625" style="23" hidden="1" customWidth="1"/>
    <col min="16" max="16" width="9.140625" style="23" hidden="1" customWidth="1"/>
    <col min="17" max="17" width="11.7109375" style="23" hidden="1" customWidth="1"/>
    <col min="18" max="24" width="9.140625" style="23" customWidth="1"/>
    <col min="25" max="16384" width="9.140625" style="23"/>
  </cols>
  <sheetData>
    <row r="2" spans="1:17" x14ac:dyDescent="0.2">
      <c r="A2" s="3" t="s">
        <v>6</v>
      </c>
      <c r="E2" s="191">
        <v>1</v>
      </c>
      <c r="F2" s="270" t="s">
        <v>116</v>
      </c>
      <c r="G2" s="271"/>
      <c r="H2" s="271"/>
    </row>
    <row r="3" spans="1:17" ht="13.5" thickBot="1" x14ac:dyDescent="0.25">
      <c r="A3" s="4" t="s">
        <v>100</v>
      </c>
      <c r="B3" s="5" t="s">
        <v>8</v>
      </c>
      <c r="C3" s="6" t="s">
        <v>8</v>
      </c>
      <c r="D3" s="25"/>
      <c r="E3" s="25"/>
    </row>
    <row r="4" spans="1:17" ht="13.5" thickBot="1" x14ac:dyDescent="0.25">
      <c r="A4" s="7" t="s">
        <v>101</v>
      </c>
      <c r="B4" s="8" t="s">
        <v>11</v>
      </c>
      <c r="C4" s="9" t="s">
        <v>12</v>
      </c>
      <c r="D4" s="16" t="s">
        <v>42</v>
      </c>
      <c r="E4" s="192"/>
      <c r="F4" s="3" t="s">
        <v>112</v>
      </c>
      <c r="I4" s="193"/>
    </row>
    <row r="5" spans="1:17" x14ac:dyDescent="0.2">
      <c r="A5" s="10" t="s">
        <v>89</v>
      </c>
      <c r="B5" s="3">
        <v>4.3099999999999996</v>
      </c>
      <c r="C5" s="11">
        <v>224</v>
      </c>
      <c r="D5" s="24" t="s">
        <v>43</v>
      </c>
      <c r="E5" s="257"/>
    </row>
    <row r="6" spans="1:17" x14ac:dyDescent="0.2">
      <c r="A6" s="12" t="s">
        <v>90</v>
      </c>
      <c r="B6" s="3">
        <v>6.15</v>
      </c>
      <c r="C6" s="11">
        <v>320</v>
      </c>
      <c r="E6" s="194"/>
    </row>
    <row r="7" spans="1:17" ht="15.75" x14ac:dyDescent="0.25">
      <c r="A7" s="13" t="s">
        <v>91</v>
      </c>
      <c r="B7" s="14">
        <v>6.77</v>
      </c>
      <c r="C7" s="15">
        <v>352</v>
      </c>
      <c r="E7" s="18" t="s">
        <v>111</v>
      </c>
    </row>
    <row r="9" spans="1:17" x14ac:dyDescent="0.2">
      <c r="A9" s="20" t="s">
        <v>124</v>
      </c>
    </row>
    <row r="10" spans="1:17" x14ac:dyDescent="0.2">
      <c r="A10" s="22" t="s">
        <v>125</v>
      </c>
      <c r="B10" s="17"/>
      <c r="C10" s="17"/>
      <c r="D10" s="17"/>
      <c r="E10" s="17"/>
      <c r="F10" s="17"/>
      <c r="G10" s="17"/>
      <c r="H10" s="17"/>
      <c r="I10" s="17"/>
      <c r="J10" s="17"/>
    </row>
    <row r="11" spans="1:17" ht="13.5" thickBot="1" x14ac:dyDescent="0.25">
      <c r="D11" s="195"/>
    </row>
    <row r="12" spans="1:17" x14ac:dyDescent="0.2">
      <c r="A12" s="196"/>
      <c r="B12" s="197" t="s">
        <v>13</v>
      </c>
      <c r="C12" s="198"/>
      <c r="D12" s="199"/>
      <c r="E12" s="197" t="s">
        <v>14</v>
      </c>
      <c r="F12" s="198"/>
      <c r="G12" s="199"/>
      <c r="H12" s="197" t="s">
        <v>15</v>
      </c>
      <c r="I12" s="198"/>
      <c r="J12" s="199"/>
      <c r="O12" s="194">
        <v>40355</v>
      </c>
      <c r="P12" s="22" t="s">
        <v>121</v>
      </c>
    </row>
    <row r="13" spans="1:17" x14ac:dyDescent="0.2">
      <c r="A13" s="200" t="s">
        <v>16</v>
      </c>
      <c r="B13" s="23" t="s">
        <v>93</v>
      </c>
      <c r="D13" s="201" t="s">
        <v>18</v>
      </c>
      <c r="E13" s="23" t="s">
        <v>17</v>
      </c>
      <c r="G13" s="202">
        <f>IF(ACCRUE_LEAVE="Y",1600*FTE,0)</f>
        <v>1600</v>
      </c>
      <c r="H13" s="23" t="s">
        <v>17</v>
      </c>
      <c r="J13" s="202">
        <v>240</v>
      </c>
    </row>
    <row r="14" spans="1:17" x14ac:dyDescent="0.2">
      <c r="A14" s="203" t="s">
        <v>19</v>
      </c>
      <c r="B14" s="24" t="s">
        <v>92</v>
      </c>
      <c r="C14" s="24" t="s">
        <v>92</v>
      </c>
      <c r="D14" s="204"/>
      <c r="E14" s="24" t="s">
        <v>92</v>
      </c>
      <c r="F14" s="3" t="s">
        <v>92</v>
      </c>
      <c r="G14" s="204"/>
      <c r="H14" s="268" t="s">
        <v>88</v>
      </c>
      <c r="I14" s="269"/>
      <c r="J14" s="204"/>
      <c r="N14" s="3" t="s">
        <v>122</v>
      </c>
      <c r="O14" s="3" t="s">
        <v>42</v>
      </c>
      <c r="P14" s="21" t="s">
        <v>44</v>
      </c>
      <c r="Q14" s="3" t="s">
        <v>98</v>
      </c>
    </row>
    <row r="15" spans="1:17" ht="13.5" thickBot="1" x14ac:dyDescent="0.25">
      <c r="A15" s="205" t="s">
        <v>94</v>
      </c>
      <c r="B15" s="206" t="s">
        <v>11</v>
      </c>
      <c r="C15" s="207" t="s">
        <v>20</v>
      </c>
      <c r="D15" s="200" t="s">
        <v>21</v>
      </c>
      <c r="E15" s="206" t="s">
        <v>11</v>
      </c>
      <c r="F15" s="207" t="s">
        <v>20</v>
      </c>
      <c r="G15" s="208" t="s">
        <v>21</v>
      </c>
      <c r="H15" s="207" t="s">
        <v>11</v>
      </c>
      <c r="I15" s="207" t="s">
        <v>20</v>
      </c>
      <c r="J15" s="208" t="s">
        <v>21</v>
      </c>
      <c r="N15" s="194">
        <v>40364</v>
      </c>
      <c r="Q15" s="23" t="s">
        <v>123</v>
      </c>
    </row>
    <row r="16" spans="1:17" ht="13.5" thickBot="1" x14ac:dyDescent="0.25">
      <c r="A16" s="209"/>
      <c r="B16" s="210">
        <f>E4*E2</f>
        <v>0</v>
      </c>
      <c r="C16" s="211"/>
      <c r="D16" s="212"/>
      <c r="E16" s="213">
        <f>E5*E2</f>
        <v>0</v>
      </c>
      <c r="F16" s="211"/>
      <c r="G16" s="212"/>
      <c r="H16" s="214"/>
      <c r="I16" s="211"/>
      <c r="J16" s="212"/>
      <c r="N16" s="194">
        <v>40427</v>
      </c>
      <c r="Q16" s="23" t="s">
        <v>123</v>
      </c>
    </row>
    <row r="17" spans="1:20" x14ac:dyDescent="0.2">
      <c r="A17" s="215">
        <v>42904</v>
      </c>
      <c r="B17" s="216">
        <f>B$16</f>
        <v>0</v>
      </c>
      <c r="C17" s="217" t="e">
        <f>#REF!</f>
        <v>#REF!</v>
      </c>
      <c r="D17" s="218" t="e">
        <f>D16+B17-C17</f>
        <v>#REF!</v>
      </c>
      <c r="E17" s="216">
        <f>E$16</f>
        <v>0</v>
      </c>
      <c r="F17" s="217" t="e">
        <f>#REF!</f>
        <v>#REF!</v>
      </c>
      <c r="G17" s="218" t="e">
        <f>IUH</f>
        <v>#REF!</v>
      </c>
      <c r="H17" s="216" t="e">
        <f>#REF!</f>
        <v>#REF!</v>
      </c>
      <c r="I17" s="217" t="e">
        <f>#REF!</f>
        <v>#REF!</v>
      </c>
      <c r="J17" s="218" t="e">
        <f>J16+H17-I17</f>
        <v>#REF!</v>
      </c>
      <c r="N17" s="194">
        <v>40507</v>
      </c>
      <c r="Q17" s="23" t="s">
        <v>123</v>
      </c>
    </row>
    <row r="18" spans="1:20" x14ac:dyDescent="0.2">
      <c r="A18" s="215">
        <v>42918</v>
      </c>
      <c r="B18" s="216">
        <f t="shared" ref="B18:B42" si="0">B$16</f>
        <v>0</v>
      </c>
      <c r="C18" s="217" t="e">
        <f>#REF!</f>
        <v>#REF!</v>
      </c>
      <c r="D18" s="218" t="e">
        <f t="shared" ref="D18:D28" si="1">D17+B18-C18</f>
        <v>#REF!</v>
      </c>
      <c r="E18" s="216">
        <f t="shared" ref="E18:E42" si="2">E$16</f>
        <v>0</v>
      </c>
      <c r="F18" s="217" t="e">
        <f>#REF!</f>
        <v>#REF!</v>
      </c>
      <c r="G18" s="218" t="e">
        <f t="shared" ref="G18:G42" si="3">IUH</f>
        <v>#REF!</v>
      </c>
      <c r="H18" s="216" t="e">
        <f>#REF!</f>
        <v>#REF!</v>
      </c>
      <c r="I18" s="217" t="e">
        <f>#REF!</f>
        <v>#REF!</v>
      </c>
      <c r="J18" s="218" t="e">
        <f t="shared" ref="J18:J42" si="4">J17+H18-I18</f>
        <v>#REF!</v>
      </c>
      <c r="N18" s="194">
        <v>40508</v>
      </c>
      <c r="Q18" s="23" t="s">
        <v>123</v>
      </c>
      <c r="T18" s="102"/>
    </row>
    <row r="19" spans="1:20" x14ac:dyDescent="0.2">
      <c r="A19" s="215">
        <f t="shared" ref="A19:A42" si="5">A18+14</f>
        <v>42932</v>
      </c>
      <c r="B19" s="216">
        <f t="shared" si="0"/>
        <v>0</v>
      </c>
      <c r="C19" s="217" t="e">
        <f>#REF!</f>
        <v>#REF!</v>
      </c>
      <c r="D19" s="218" t="e">
        <f t="shared" si="1"/>
        <v>#REF!</v>
      </c>
      <c r="E19" s="216">
        <f t="shared" si="2"/>
        <v>0</v>
      </c>
      <c r="F19" s="217" t="e">
        <f>#REF!</f>
        <v>#REF!</v>
      </c>
      <c r="G19" s="218" t="e">
        <f t="shared" si="3"/>
        <v>#REF!</v>
      </c>
      <c r="H19" s="216" t="e">
        <f>#REF!</f>
        <v>#REF!</v>
      </c>
      <c r="I19" s="217" t="e">
        <f>#REF!</f>
        <v>#REF!</v>
      </c>
      <c r="J19" s="218" t="e">
        <f t="shared" si="4"/>
        <v>#REF!</v>
      </c>
      <c r="N19" s="194">
        <v>40536</v>
      </c>
      <c r="Q19" s="23" t="s">
        <v>123</v>
      </c>
    </row>
    <row r="20" spans="1:20" x14ac:dyDescent="0.2">
      <c r="A20" s="215">
        <f t="shared" si="5"/>
        <v>42946</v>
      </c>
      <c r="B20" s="216">
        <f t="shared" si="0"/>
        <v>0</v>
      </c>
      <c r="C20" s="217" t="e">
        <f>#REF!</f>
        <v>#REF!</v>
      </c>
      <c r="D20" s="218" t="e">
        <f t="shared" si="1"/>
        <v>#REF!</v>
      </c>
      <c r="E20" s="216">
        <f t="shared" si="2"/>
        <v>0</v>
      </c>
      <c r="F20" s="217" t="e">
        <f>#REF!</f>
        <v>#REF!</v>
      </c>
      <c r="G20" s="218" t="e">
        <f t="shared" si="3"/>
        <v>#REF!</v>
      </c>
      <c r="H20" s="216" t="e">
        <f>#REF!</f>
        <v>#REF!</v>
      </c>
      <c r="I20" s="217" t="e">
        <f>#REF!</f>
        <v>#REF!</v>
      </c>
      <c r="J20" s="218" t="e">
        <f t="shared" si="4"/>
        <v>#REF!</v>
      </c>
      <c r="N20" s="194">
        <v>40539</v>
      </c>
      <c r="Q20" s="23" t="s">
        <v>123</v>
      </c>
    </row>
    <row r="21" spans="1:20" x14ac:dyDescent="0.2">
      <c r="A21" s="215">
        <f t="shared" si="5"/>
        <v>42960</v>
      </c>
      <c r="B21" s="216">
        <f t="shared" si="0"/>
        <v>0</v>
      </c>
      <c r="C21" s="217" t="e">
        <f>#REF!</f>
        <v>#REF!</v>
      </c>
      <c r="D21" s="218" t="e">
        <f t="shared" si="1"/>
        <v>#REF!</v>
      </c>
      <c r="E21" s="216">
        <f t="shared" si="2"/>
        <v>0</v>
      </c>
      <c r="F21" s="217" t="e">
        <f>#REF!</f>
        <v>#REF!</v>
      </c>
      <c r="G21" s="218" t="e">
        <f t="shared" si="3"/>
        <v>#REF!</v>
      </c>
      <c r="H21" s="216" t="e">
        <f>#REF!</f>
        <v>#REF!</v>
      </c>
      <c r="I21" s="217" t="e">
        <f>#REF!</f>
        <v>#REF!</v>
      </c>
      <c r="J21" s="218" t="e">
        <f t="shared" si="4"/>
        <v>#REF!</v>
      </c>
      <c r="N21" s="194">
        <v>40540</v>
      </c>
      <c r="Q21" s="23" t="s">
        <v>123</v>
      </c>
    </row>
    <row r="22" spans="1:20" x14ac:dyDescent="0.2">
      <c r="A22" s="215">
        <f t="shared" si="5"/>
        <v>42974</v>
      </c>
      <c r="B22" s="216">
        <f t="shared" si="0"/>
        <v>0</v>
      </c>
      <c r="C22" s="217" t="e">
        <f>#REF!</f>
        <v>#REF!</v>
      </c>
      <c r="D22" s="218" t="e">
        <f t="shared" si="1"/>
        <v>#REF!</v>
      </c>
      <c r="E22" s="216">
        <f t="shared" si="2"/>
        <v>0</v>
      </c>
      <c r="F22" s="217" t="e">
        <f>#REF!</f>
        <v>#REF!</v>
      </c>
      <c r="G22" s="218" t="e">
        <f t="shared" si="3"/>
        <v>#REF!</v>
      </c>
      <c r="H22" s="216" t="e">
        <f>#REF!</f>
        <v>#REF!</v>
      </c>
      <c r="I22" s="217" t="e">
        <f>#REF!</f>
        <v>#REF!</v>
      </c>
      <c r="J22" s="218" t="e">
        <f t="shared" si="4"/>
        <v>#REF!</v>
      </c>
      <c r="N22" s="194">
        <v>40541</v>
      </c>
      <c r="Q22" s="23" t="s">
        <v>123</v>
      </c>
    </row>
    <row r="23" spans="1:20" x14ac:dyDescent="0.2">
      <c r="A23" s="215">
        <f t="shared" si="5"/>
        <v>42988</v>
      </c>
      <c r="B23" s="216">
        <f>B$16</f>
        <v>0</v>
      </c>
      <c r="C23" s="217" t="e">
        <f>#REF!</f>
        <v>#REF!</v>
      </c>
      <c r="D23" s="218" t="e">
        <f t="shared" si="1"/>
        <v>#REF!</v>
      </c>
      <c r="E23" s="216">
        <f t="shared" si="2"/>
        <v>0</v>
      </c>
      <c r="F23" s="217" t="e">
        <f>#REF!</f>
        <v>#REF!</v>
      </c>
      <c r="G23" s="218" t="e">
        <f t="shared" si="3"/>
        <v>#REF!</v>
      </c>
      <c r="H23" s="216" t="e">
        <f>#REF!</f>
        <v>#REF!</v>
      </c>
      <c r="I23" s="217" t="e">
        <f>#REF!</f>
        <v>#REF!</v>
      </c>
      <c r="J23" s="218" t="e">
        <f t="shared" si="4"/>
        <v>#REF!</v>
      </c>
      <c r="N23" s="194">
        <v>40542</v>
      </c>
      <c r="Q23" s="23" t="s">
        <v>123</v>
      </c>
    </row>
    <row r="24" spans="1:20" x14ac:dyDescent="0.2">
      <c r="A24" s="215">
        <f t="shared" si="5"/>
        <v>43002</v>
      </c>
      <c r="B24" s="216">
        <f t="shared" si="0"/>
        <v>0</v>
      </c>
      <c r="C24" s="217" t="e">
        <f>#REF!</f>
        <v>#REF!</v>
      </c>
      <c r="D24" s="218" t="e">
        <f t="shared" si="1"/>
        <v>#REF!</v>
      </c>
      <c r="E24" s="216">
        <f t="shared" si="2"/>
        <v>0</v>
      </c>
      <c r="F24" s="217" t="e">
        <f>#REF!</f>
        <v>#REF!</v>
      </c>
      <c r="G24" s="218" t="e">
        <f t="shared" si="3"/>
        <v>#REF!</v>
      </c>
      <c r="H24" s="216" t="e">
        <f>#REF!</f>
        <v>#REF!</v>
      </c>
      <c r="I24" s="217" t="e">
        <f>#REF!</f>
        <v>#REF!</v>
      </c>
      <c r="J24" s="218" t="e">
        <f t="shared" si="4"/>
        <v>#REF!</v>
      </c>
      <c r="N24" s="194">
        <v>40543</v>
      </c>
      <c r="Q24" s="23" t="s">
        <v>123</v>
      </c>
    </row>
    <row r="25" spans="1:20" x14ac:dyDescent="0.2">
      <c r="A25" s="215">
        <f t="shared" si="5"/>
        <v>43016</v>
      </c>
      <c r="B25" s="216">
        <f t="shared" si="0"/>
        <v>0</v>
      </c>
      <c r="C25" s="217" t="e">
        <f>#REF!</f>
        <v>#REF!</v>
      </c>
      <c r="D25" s="218" t="e">
        <f t="shared" si="1"/>
        <v>#REF!</v>
      </c>
      <c r="E25" s="216">
        <f t="shared" si="2"/>
        <v>0</v>
      </c>
      <c r="F25" s="217" t="e">
        <f>#REF!</f>
        <v>#REF!</v>
      </c>
      <c r="G25" s="218" t="e">
        <f t="shared" si="3"/>
        <v>#REF!</v>
      </c>
      <c r="H25" s="216" t="e">
        <f>#REF!</f>
        <v>#REF!</v>
      </c>
      <c r="I25" s="217" t="e">
        <f>#REF!</f>
        <v>#REF!</v>
      </c>
      <c r="J25" s="218" t="e">
        <f t="shared" si="4"/>
        <v>#REF!</v>
      </c>
    </row>
    <row r="26" spans="1:20" x14ac:dyDescent="0.2">
      <c r="A26" s="215">
        <f t="shared" si="5"/>
        <v>43030</v>
      </c>
      <c r="B26" s="216">
        <f t="shared" si="0"/>
        <v>0</v>
      </c>
      <c r="C26" s="217" t="e">
        <f>#REF!</f>
        <v>#REF!</v>
      </c>
      <c r="D26" s="218" t="e">
        <f t="shared" si="1"/>
        <v>#REF!</v>
      </c>
      <c r="E26" s="216">
        <f t="shared" si="2"/>
        <v>0</v>
      </c>
      <c r="F26" s="217" t="e">
        <f>#REF!</f>
        <v>#REF!</v>
      </c>
      <c r="G26" s="218" t="e">
        <f t="shared" si="3"/>
        <v>#REF!</v>
      </c>
      <c r="H26" s="216" t="e">
        <f>#REF!</f>
        <v>#REF!</v>
      </c>
      <c r="I26" s="217" t="e">
        <f>#REF!</f>
        <v>#REF!</v>
      </c>
      <c r="J26" s="218" t="e">
        <f t="shared" si="4"/>
        <v>#REF!</v>
      </c>
    </row>
    <row r="27" spans="1:20" x14ac:dyDescent="0.2">
      <c r="A27" s="215">
        <f t="shared" si="5"/>
        <v>43044</v>
      </c>
      <c r="B27" s="216">
        <f t="shared" si="0"/>
        <v>0</v>
      </c>
      <c r="C27" s="217" t="e">
        <f>#REF!</f>
        <v>#REF!</v>
      </c>
      <c r="D27" s="218" t="e">
        <f t="shared" si="1"/>
        <v>#REF!</v>
      </c>
      <c r="E27" s="216">
        <f t="shared" si="2"/>
        <v>0</v>
      </c>
      <c r="F27" s="217" t="e">
        <f>#REF!</f>
        <v>#REF!</v>
      </c>
      <c r="G27" s="218" t="e">
        <f t="shared" si="3"/>
        <v>#REF!</v>
      </c>
      <c r="H27" s="216" t="e">
        <f>#REF!</f>
        <v>#REF!</v>
      </c>
      <c r="I27" s="217" t="e">
        <f>#REF!</f>
        <v>#REF!</v>
      </c>
      <c r="J27" s="218" t="e">
        <f t="shared" si="4"/>
        <v>#REF!</v>
      </c>
    </row>
    <row r="28" spans="1:20" x14ac:dyDescent="0.2">
      <c r="A28" s="215">
        <f t="shared" si="5"/>
        <v>43058</v>
      </c>
      <c r="B28" s="216">
        <f t="shared" si="0"/>
        <v>0</v>
      </c>
      <c r="C28" s="217" t="e">
        <f>#REF!</f>
        <v>#REF!</v>
      </c>
      <c r="D28" s="218" t="e">
        <f t="shared" si="1"/>
        <v>#REF!</v>
      </c>
      <c r="E28" s="216">
        <f t="shared" si="2"/>
        <v>0</v>
      </c>
      <c r="F28" s="217" t="e">
        <f>#REF!</f>
        <v>#REF!</v>
      </c>
      <c r="G28" s="218" t="e">
        <f t="shared" si="3"/>
        <v>#REF!</v>
      </c>
      <c r="H28" s="216" t="e">
        <f>#REF!</f>
        <v>#REF!</v>
      </c>
      <c r="I28" s="217" t="e">
        <f>#REF!</f>
        <v>#REF!</v>
      </c>
      <c r="J28" s="218" t="e">
        <f t="shared" si="4"/>
        <v>#REF!</v>
      </c>
    </row>
    <row r="29" spans="1:20" x14ac:dyDescent="0.2">
      <c r="A29" s="215">
        <f t="shared" si="5"/>
        <v>43072</v>
      </c>
      <c r="B29" s="216">
        <f t="shared" si="0"/>
        <v>0</v>
      </c>
      <c r="C29" s="217" t="e">
        <f>#REF!</f>
        <v>#REF!</v>
      </c>
      <c r="D29" s="218" t="e">
        <f>D28+B29-C29</f>
        <v>#REF!</v>
      </c>
      <c r="E29" s="216">
        <f t="shared" si="2"/>
        <v>0</v>
      </c>
      <c r="F29" s="217" t="e">
        <f>#REF!</f>
        <v>#REF!</v>
      </c>
      <c r="G29" s="218" t="e">
        <f t="shared" si="3"/>
        <v>#REF!</v>
      </c>
      <c r="H29" s="216" t="e">
        <f>#REF!</f>
        <v>#REF!</v>
      </c>
      <c r="I29" s="217" t="e">
        <f>#REF!</f>
        <v>#REF!</v>
      </c>
      <c r="J29" s="218" t="e">
        <f t="shared" si="4"/>
        <v>#REF!</v>
      </c>
    </row>
    <row r="30" spans="1:20" x14ac:dyDescent="0.2">
      <c r="A30" s="215">
        <f t="shared" si="5"/>
        <v>43086</v>
      </c>
      <c r="B30" s="216">
        <f t="shared" si="0"/>
        <v>0</v>
      </c>
      <c r="C30" s="217" t="e">
        <f>#REF!</f>
        <v>#REF!</v>
      </c>
      <c r="D30" s="218" t="e">
        <f t="shared" ref="D30:D42" si="6">D29+B30-C30</f>
        <v>#REF!</v>
      </c>
      <c r="E30" s="216">
        <f t="shared" si="2"/>
        <v>0</v>
      </c>
      <c r="F30" s="217" t="e">
        <f>#REF!</f>
        <v>#REF!</v>
      </c>
      <c r="G30" s="218" t="e">
        <f t="shared" si="3"/>
        <v>#REF!</v>
      </c>
      <c r="H30" s="216" t="e">
        <f>#REF!</f>
        <v>#REF!</v>
      </c>
      <c r="I30" s="217" t="e">
        <f>#REF!</f>
        <v>#REF!</v>
      </c>
      <c r="J30" s="218" t="e">
        <f t="shared" si="4"/>
        <v>#REF!</v>
      </c>
    </row>
    <row r="31" spans="1:20" x14ac:dyDescent="0.2">
      <c r="A31" s="215">
        <f t="shared" si="5"/>
        <v>43100</v>
      </c>
      <c r="B31" s="216">
        <f t="shared" si="0"/>
        <v>0</v>
      </c>
      <c r="C31" s="217" t="e">
        <f>#REF!</f>
        <v>#REF!</v>
      </c>
      <c r="D31" s="218" t="e">
        <f t="shared" si="6"/>
        <v>#REF!</v>
      </c>
      <c r="E31" s="216">
        <f t="shared" si="2"/>
        <v>0</v>
      </c>
      <c r="F31" s="217" t="e">
        <f>#REF!</f>
        <v>#REF!</v>
      </c>
      <c r="G31" s="218" t="e">
        <f t="shared" si="3"/>
        <v>#REF!</v>
      </c>
      <c r="H31" s="216" t="e">
        <f>#REF!</f>
        <v>#REF!</v>
      </c>
      <c r="I31" s="217" t="e">
        <f>#REF!</f>
        <v>#REF!</v>
      </c>
      <c r="J31" s="218" t="e">
        <f t="shared" si="4"/>
        <v>#REF!</v>
      </c>
    </row>
    <row r="32" spans="1:20" x14ac:dyDescent="0.2">
      <c r="A32" s="215">
        <f t="shared" si="5"/>
        <v>43114</v>
      </c>
      <c r="B32" s="216">
        <f t="shared" si="0"/>
        <v>0</v>
      </c>
      <c r="C32" s="217" t="e">
        <f>#REF!</f>
        <v>#REF!</v>
      </c>
      <c r="D32" s="218" t="e">
        <f t="shared" si="6"/>
        <v>#REF!</v>
      </c>
      <c r="E32" s="216">
        <f t="shared" si="2"/>
        <v>0</v>
      </c>
      <c r="F32" s="217" t="e">
        <f>#REF!</f>
        <v>#REF!</v>
      </c>
      <c r="G32" s="218" t="e">
        <f t="shared" si="3"/>
        <v>#REF!</v>
      </c>
      <c r="H32" s="216" t="e">
        <f>#REF!</f>
        <v>#REF!</v>
      </c>
      <c r="I32" s="217" t="e">
        <f>#REF!</f>
        <v>#REF!</v>
      </c>
      <c r="J32" s="218" t="e">
        <f t="shared" si="4"/>
        <v>#REF!</v>
      </c>
    </row>
    <row r="33" spans="1:20" x14ac:dyDescent="0.2">
      <c r="A33" s="215">
        <f t="shared" si="5"/>
        <v>43128</v>
      </c>
      <c r="B33" s="216">
        <f t="shared" si="0"/>
        <v>0</v>
      </c>
      <c r="C33" s="217" t="e">
        <f>#REF!</f>
        <v>#REF!</v>
      </c>
      <c r="D33" s="218" t="e">
        <f t="shared" si="6"/>
        <v>#REF!</v>
      </c>
      <c r="E33" s="216">
        <f t="shared" si="2"/>
        <v>0</v>
      </c>
      <c r="F33" s="217" t="e">
        <f>#REF!</f>
        <v>#REF!</v>
      </c>
      <c r="G33" s="218" t="e">
        <f t="shared" si="3"/>
        <v>#REF!</v>
      </c>
      <c r="H33" s="216" t="e">
        <f>#REF!</f>
        <v>#REF!</v>
      </c>
      <c r="I33" s="217" t="e">
        <f>#REF!</f>
        <v>#REF!</v>
      </c>
      <c r="J33" s="218" t="e">
        <f t="shared" si="4"/>
        <v>#REF!</v>
      </c>
    </row>
    <row r="34" spans="1:20" x14ac:dyDescent="0.2">
      <c r="A34" s="215">
        <f t="shared" si="5"/>
        <v>43142</v>
      </c>
      <c r="B34" s="216">
        <f t="shared" si="0"/>
        <v>0</v>
      </c>
      <c r="C34" s="217" t="e">
        <f>#REF!</f>
        <v>#REF!</v>
      </c>
      <c r="D34" s="218" t="e">
        <f t="shared" si="6"/>
        <v>#REF!</v>
      </c>
      <c r="E34" s="216">
        <f t="shared" si="2"/>
        <v>0</v>
      </c>
      <c r="F34" s="217" t="e">
        <f>#REF!</f>
        <v>#REF!</v>
      </c>
      <c r="G34" s="218" t="e">
        <f t="shared" si="3"/>
        <v>#REF!</v>
      </c>
      <c r="H34" s="216" t="e">
        <f>#REF!</f>
        <v>#REF!</v>
      </c>
      <c r="I34" s="217" t="e">
        <f>#REF!</f>
        <v>#REF!</v>
      </c>
      <c r="J34" s="218" t="e">
        <f t="shared" si="4"/>
        <v>#REF!</v>
      </c>
    </row>
    <row r="35" spans="1:20" x14ac:dyDescent="0.2">
      <c r="A35" s="215">
        <f t="shared" si="5"/>
        <v>43156</v>
      </c>
      <c r="B35" s="216">
        <f t="shared" si="0"/>
        <v>0</v>
      </c>
      <c r="C35" s="217" t="e">
        <f>#REF!</f>
        <v>#REF!</v>
      </c>
      <c r="D35" s="218" t="e">
        <f t="shared" si="6"/>
        <v>#REF!</v>
      </c>
      <c r="E35" s="216">
        <f t="shared" si="2"/>
        <v>0</v>
      </c>
      <c r="F35" s="217" t="e">
        <f>#REF!</f>
        <v>#REF!</v>
      </c>
      <c r="G35" s="218" t="e">
        <f t="shared" si="3"/>
        <v>#REF!</v>
      </c>
      <c r="H35" s="216" t="e">
        <f>#REF!</f>
        <v>#REF!</v>
      </c>
      <c r="I35" s="217" t="e">
        <f>#REF!</f>
        <v>#REF!</v>
      </c>
      <c r="J35" s="218" t="e">
        <f t="shared" si="4"/>
        <v>#REF!</v>
      </c>
    </row>
    <row r="36" spans="1:20" x14ac:dyDescent="0.2">
      <c r="A36" s="215">
        <f t="shared" si="5"/>
        <v>43170</v>
      </c>
      <c r="B36" s="216">
        <f t="shared" si="0"/>
        <v>0</v>
      </c>
      <c r="C36" s="217" t="e">
        <f>#REF!</f>
        <v>#REF!</v>
      </c>
      <c r="D36" s="218" t="e">
        <f t="shared" si="6"/>
        <v>#REF!</v>
      </c>
      <c r="E36" s="216">
        <f t="shared" si="2"/>
        <v>0</v>
      </c>
      <c r="F36" s="217" t="e">
        <f>#REF!</f>
        <v>#REF!</v>
      </c>
      <c r="G36" s="218" t="e">
        <f t="shared" si="3"/>
        <v>#REF!</v>
      </c>
      <c r="H36" s="216" t="e">
        <f>#REF!</f>
        <v>#REF!</v>
      </c>
      <c r="I36" s="217" t="e">
        <f>#REF!</f>
        <v>#REF!</v>
      </c>
      <c r="J36" s="218" t="e">
        <f t="shared" si="4"/>
        <v>#REF!</v>
      </c>
      <c r="T36" s="102"/>
    </row>
    <row r="37" spans="1:20" x14ac:dyDescent="0.2">
      <c r="A37" s="215">
        <f t="shared" si="5"/>
        <v>43184</v>
      </c>
      <c r="B37" s="216">
        <f t="shared" si="0"/>
        <v>0</v>
      </c>
      <c r="C37" s="217" t="e">
        <f>#REF!</f>
        <v>#REF!</v>
      </c>
      <c r="D37" s="218" t="e">
        <f t="shared" si="6"/>
        <v>#REF!</v>
      </c>
      <c r="E37" s="216">
        <f t="shared" si="2"/>
        <v>0</v>
      </c>
      <c r="F37" s="217" t="e">
        <f>#REF!</f>
        <v>#REF!</v>
      </c>
      <c r="G37" s="218" t="e">
        <f t="shared" si="3"/>
        <v>#REF!</v>
      </c>
      <c r="H37" s="216" t="e">
        <f>#REF!</f>
        <v>#REF!</v>
      </c>
      <c r="I37" s="217" t="e">
        <f>#REF!</f>
        <v>#REF!</v>
      </c>
      <c r="J37" s="218" t="e">
        <f t="shared" si="4"/>
        <v>#REF!</v>
      </c>
    </row>
    <row r="38" spans="1:20" x14ac:dyDescent="0.2">
      <c r="A38" s="215">
        <f t="shared" si="5"/>
        <v>43198</v>
      </c>
      <c r="B38" s="216">
        <f t="shared" si="0"/>
        <v>0</v>
      </c>
      <c r="C38" s="217" t="e">
        <f>#REF!</f>
        <v>#REF!</v>
      </c>
      <c r="D38" s="218" t="e">
        <f t="shared" si="6"/>
        <v>#REF!</v>
      </c>
      <c r="E38" s="216">
        <f t="shared" si="2"/>
        <v>0</v>
      </c>
      <c r="F38" s="217" t="e">
        <f>#REF!</f>
        <v>#REF!</v>
      </c>
      <c r="G38" s="218" t="e">
        <f t="shared" si="3"/>
        <v>#REF!</v>
      </c>
      <c r="H38" s="216" t="e">
        <f>#REF!</f>
        <v>#REF!</v>
      </c>
      <c r="I38" s="217" t="e">
        <f>#REF!</f>
        <v>#REF!</v>
      </c>
      <c r="J38" s="218" t="e">
        <f t="shared" si="4"/>
        <v>#REF!</v>
      </c>
    </row>
    <row r="39" spans="1:20" x14ac:dyDescent="0.2">
      <c r="A39" s="215">
        <f t="shared" si="5"/>
        <v>43212</v>
      </c>
      <c r="B39" s="216">
        <f t="shared" si="0"/>
        <v>0</v>
      </c>
      <c r="C39" s="217" t="e">
        <f>#REF!</f>
        <v>#REF!</v>
      </c>
      <c r="D39" s="218" t="e">
        <f t="shared" si="6"/>
        <v>#REF!</v>
      </c>
      <c r="E39" s="216">
        <f t="shared" si="2"/>
        <v>0</v>
      </c>
      <c r="F39" s="217" t="e">
        <f>#REF!</f>
        <v>#REF!</v>
      </c>
      <c r="G39" s="218" t="e">
        <f t="shared" si="3"/>
        <v>#REF!</v>
      </c>
      <c r="H39" s="216" t="e">
        <f>#REF!</f>
        <v>#REF!</v>
      </c>
      <c r="I39" s="217" t="e">
        <f>#REF!</f>
        <v>#REF!</v>
      </c>
      <c r="J39" s="218" t="e">
        <f t="shared" si="4"/>
        <v>#REF!</v>
      </c>
    </row>
    <row r="40" spans="1:20" x14ac:dyDescent="0.2">
      <c r="A40" s="215">
        <f t="shared" si="5"/>
        <v>43226</v>
      </c>
      <c r="B40" s="216">
        <f t="shared" si="0"/>
        <v>0</v>
      </c>
      <c r="C40" s="217" t="e">
        <f>#REF!</f>
        <v>#REF!</v>
      </c>
      <c r="D40" s="218" t="e">
        <f t="shared" si="6"/>
        <v>#REF!</v>
      </c>
      <c r="E40" s="216">
        <f t="shared" si="2"/>
        <v>0</v>
      </c>
      <c r="F40" s="217" t="e">
        <f>#REF!</f>
        <v>#REF!</v>
      </c>
      <c r="G40" s="218" t="e">
        <f t="shared" si="3"/>
        <v>#REF!</v>
      </c>
      <c r="H40" s="216" t="e">
        <f>#REF!</f>
        <v>#REF!</v>
      </c>
      <c r="I40" s="217" t="e">
        <f>#REF!</f>
        <v>#REF!</v>
      </c>
      <c r="J40" s="218" t="e">
        <f t="shared" si="4"/>
        <v>#REF!</v>
      </c>
    </row>
    <row r="41" spans="1:20" x14ac:dyDescent="0.2">
      <c r="A41" s="215">
        <f t="shared" si="5"/>
        <v>43240</v>
      </c>
      <c r="B41" s="216">
        <f t="shared" si="0"/>
        <v>0</v>
      </c>
      <c r="C41" s="217">
        <f>'Beginning 05-31-20'!E$42</f>
        <v>0</v>
      </c>
      <c r="D41" s="218" t="e">
        <f t="shared" si="6"/>
        <v>#REF!</v>
      </c>
      <c r="E41" s="216">
        <f t="shared" si="2"/>
        <v>0</v>
      </c>
      <c r="F41" s="217">
        <f>'Beginning 05-31-20'!E$44</f>
        <v>0</v>
      </c>
      <c r="G41" s="218" t="e">
        <f t="shared" si="3"/>
        <v>#REF!</v>
      </c>
      <c r="H41" s="216">
        <f>'Beginning 05-31-20'!N$43</f>
        <v>0</v>
      </c>
      <c r="I41" s="217">
        <f>'Beginning 05-31-20'!N$45</f>
        <v>0</v>
      </c>
      <c r="J41" s="218" t="e">
        <f t="shared" si="4"/>
        <v>#REF!</v>
      </c>
    </row>
    <row r="42" spans="1:20" x14ac:dyDescent="0.2">
      <c r="A42" s="215">
        <f t="shared" si="5"/>
        <v>43254</v>
      </c>
      <c r="B42" s="216">
        <f t="shared" si="0"/>
        <v>0</v>
      </c>
      <c r="C42" s="217" t="e">
        <f>#REF!</f>
        <v>#REF!</v>
      </c>
      <c r="D42" s="218" t="e">
        <f t="shared" si="6"/>
        <v>#REF!</v>
      </c>
      <c r="E42" s="216">
        <f t="shared" si="2"/>
        <v>0</v>
      </c>
      <c r="F42" s="217" t="e">
        <f>#REF!</f>
        <v>#REF!</v>
      </c>
      <c r="G42" s="218" t="e">
        <f t="shared" si="3"/>
        <v>#REF!</v>
      </c>
      <c r="H42" s="216" t="e">
        <f>#REF!</f>
        <v>#REF!</v>
      </c>
      <c r="I42" s="217" t="e">
        <f>#REF!</f>
        <v>#REF!</v>
      </c>
      <c r="J42" s="218" t="e">
        <f t="shared" si="4"/>
        <v>#REF!</v>
      </c>
    </row>
    <row r="43" spans="1:20" x14ac:dyDescent="0.2">
      <c r="A43" s="215"/>
      <c r="B43" s="219"/>
      <c r="C43" s="110"/>
      <c r="D43" s="220"/>
      <c r="E43" s="219"/>
      <c r="F43" s="110"/>
      <c r="G43" s="220"/>
      <c r="H43" s="219"/>
      <c r="I43" s="110"/>
      <c r="J43" s="220"/>
    </row>
    <row r="44" spans="1:20" x14ac:dyDescent="0.2">
      <c r="A44" s="215"/>
      <c r="B44" s="219"/>
      <c r="C44" s="110"/>
      <c r="D44" s="220"/>
      <c r="E44" s="219"/>
      <c r="F44" s="110"/>
      <c r="G44" s="220"/>
      <c r="H44" s="219"/>
      <c r="I44" s="110"/>
      <c r="J44" s="220"/>
    </row>
    <row r="45" spans="1:20" x14ac:dyDescent="0.2">
      <c r="A45" s="215"/>
      <c r="B45" s="219"/>
      <c r="C45" s="110"/>
      <c r="D45" s="220"/>
      <c r="E45" s="219"/>
      <c r="F45" s="110"/>
      <c r="G45" s="220"/>
      <c r="H45" s="219"/>
      <c r="I45" s="110"/>
      <c r="J45" s="220"/>
    </row>
    <row r="46" spans="1:20" ht="13.5" thickBot="1" x14ac:dyDescent="0.25">
      <c r="A46" s="221"/>
      <c r="B46" s="222"/>
      <c r="C46" s="223"/>
      <c r="D46" s="224"/>
      <c r="E46" s="222"/>
      <c r="F46" s="223"/>
      <c r="G46" s="224"/>
      <c r="H46" s="222"/>
      <c r="I46" s="223"/>
      <c r="J46" s="224"/>
    </row>
    <row r="48" spans="1:20" x14ac:dyDescent="0.2">
      <c r="B48" s="3" t="s">
        <v>107</v>
      </c>
      <c r="E48" s="3" t="s">
        <v>108</v>
      </c>
      <c r="H48" s="3" t="s">
        <v>109</v>
      </c>
    </row>
    <row r="49" spans="1:8" ht="13.5" thickBot="1" x14ac:dyDescent="0.25">
      <c r="B49" s="272" t="s">
        <v>134</v>
      </c>
      <c r="C49" s="272"/>
      <c r="D49" s="272"/>
      <c r="E49" s="272"/>
      <c r="F49" s="272"/>
      <c r="G49" s="272"/>
      <c r="H49" s="272"/>
    </row>
    <row r="50" spans="1:8" ht="13.5" thickBot="1" x14ac:dyDescent="0.25">
      <c r="B50" s="225"/>
      <c r="E50" s="225"/>
      <c r="H50" s="225"/>
    </row>
    <row r="51" spans="1:8" x14ac:dyDescent="0.2">
      <c r="B51" s="272" t="s">
        <v>106</v>
      </c>
      <c r="C51" s="272"/>
      <c r="D51" s="272"/>
      <c r="E51" s="272"/>
      <c r="F51" s="272"/>
      <c r="G51" s="272"/>
      <c r="H51" s="272"/>
    </row>
    <row r="52" spans="1:8" ht="13.5" thickBot="1" x14ac:dyDescent="0.25">
      <c r="B52" s="272"/>
      <c r="C52" s="272"/>
      <c r="D52" s="272"/>
      <c r="E52" s="272"/>
      <c r="F52" s="272"/>
      <c r="G52" s="272"/>
      <c r="H52" s="272"/>
    </row>
    <row r="53" spans="1:8" ht="13.5" thickBot="1" x14ac:dyDescent="0.25">
      <c r="A53" s="226" t="s">
        <v>105</v>
      </c>
      <c r="B53" s="225"/>
      <c r="E53" s="225"/>
      <c r="H53" s="225"/>
    </row>
    <row r="55" spans="1:8" ht="13.5" thickBot="1" x14ac:dyDescent="0.25">
      <c r="B55" s="272" t="s">
        <v>135</v>
      </c>
      <c r="C55" s="272"/>
      <c r="D55" s="272"/>
      <c r="E55" s="272"/>
      <c r="F55" s="272"/>
      <c r="G55" s="272"/>
      <c r="H55" s="272"/>
    </row>
    <row r="56" spans="1:8" ht="13.5" thickBot="1" x14ac:dyDescent="0.25">
      <c r="A56" s="226" t="s">
        <v>110</v>
      </c>
      <c r="B56" s="225"/>
      <c r="E56" s="225"/>
      <c r="H56" s="225"/>
    </row>
    <row r="58" spans="1:8" ht="13.5" thickBot="1" x14ac:dyDescent="0.25"/>
    <row r="59" spans="1:8" ht="13.5" thickBot="1" x14ac:dyDescent="0.25">
      <c r="B59" s="19">
        <f>B50+B53-B56</f>
        <v>0</v>
      </c>
      <c r="E59" s="19">
        <f>E50+E53-E56</f>
        <v>0</v>
      </c>
      <c r="H59" s="19">
        <f>SUM(H50+H53-H56)</f>
        <v>0</v>
      </c>
    </row>
    <row r="60" spans="1:8" x14ac:dyDescent="0.2">
      <c r="B60" s="269" t="s">
        <v>115</v>
      </c>
      <c r="C60" s="269"/>
      <c r="D60" s="269"/>
      <c r="E60" s="269"/>
      <c r="F60" s="269"/>
      <c r="G60" s="269"/>
      <c r="H60" s="269"/>
    </row>
    <row r="388" spans="2:2" x14ac:dyDescent="0.2">
      <c r="B388" s="3" t="s">
        <v>28</v>
      </c>
    </row>
  </sheetData>
  <mergeCells count="6">
    <mergeCell ref="H14:I14"/>
    <mergeCell ref="F2:H2"/>
    <mergeCell ref="B60:H60"/>
    <mergeCell ref="B49:H49"/>
    <mergeCell ref="B51:H52"/>
    <mergeCell ref="B55:H55"/>
  </mergeCells>
  <phoneticPr fontId="0" type="noConversion"/>
  <pageMargins left="0.25" right="0.25" top="0.25" bottom="0.25" header="0.5" footer="0.5"/>
  <pageSetup scale="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etHolidays">
                <anchor moveWithCells="1" sizeWithCells="1">
                  <from>
                    <xdr:col>12</xdr:col>
                    <xdr:colOff>28575</xdr:colOff>
                    <xdr:row>13</xdr:row>
                    <xdr:rowOff>28575</xdr:rowOff>
                  </from>
                  <to>
                    <xdr:col>12</xdr:col>
                    <xdr:colOff>600075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protectAll">
                <anchor moveWithCells="1" sizeWithCells="1">
                  <from>
                    <xdr:col>13</xdr:col>
                    <xdr:colOff>28575</xdr:colOff>
                    <xdr:row>8</xdr:row>
                    <xdr:rowOff>28575</xdr:rowOff>
                  </from>
                  <to>
                    <xdr:col>13</xdr:col>
                    <xdr:colOff>600075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UnprotectAll">
                <anchor moveWithCells="1" sizeWithCells="1">
                  <from>
                    <xdr:col>13</xdr:col>
                    <xdr:colOff>28575</xdr:colOff>
                    <xdr:row>6</xdr:row>
                    <xdr:rowOff>28575</xdr:rowOff>
                  </from>
                  <to>
                    <xdr:col>13</xdr:col>
                    <xdr:colOff>600075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04"/>
  <sheetViews>
    <sheetView workbookViewId="0">
      <selection activeCell="B3" sqref="B3:D3"/>
    </sheetView>
  </sheetViews>
  <sheetFormatPr defaultColWidth="9.140625" defaultRowHeight="12.75" x14ac:dyDescent="0.2"/>
  <cols>
    <col min="1" max="1" width="21" style="23" customWidth="1"/>
    <col min="2" max="2" width="11.7109375" style="23" bestFit="1" customWidth="1"/>
    <col min="3" max="3" width="9.140625" style="23"/>
    <col min="4" max="4" width="9.5703125" style="23" customWidth="1"/>
    <col min="5" max="10" width="9.140625" style="23"/>
    <col min="11" max="11" width="4.42578125" style="23" customWidth="1"/>
    <col min="12" max="16384" width="9.140625" style="23"/>
  </cols>
  <sheetData>
    <row r="1" spans="1:16" ht="23.25" x14ac:dyDescent="0.35">
      <c r="A1" s="227" t="s">
        <v>127</v>
      </c>
      <c r="B1" s="275" t="s">
        <v>137</v>
      </c>
      <c r="C1" s="275"/>
      <c r="D1" s="275"/>
      <c r="F1" s="3"/>
      <c r="I1" s="228"/>
    </row>
    <row r="2" spans="1:16" ht="23.25" x14ac:dyDescent="0.35">
      <c r="A2" s="227" t="s">
        <v>128</v>
      </c>
      <c r="B2" s="275" t="s">
        <v>138</v>
      </c>
      <c r="C2" s="275"/>
      <c r="D2" s="275"/>
      <c r="F2" s="3"/>
      <c r="I2" s="228"/>
    </row>
    <row r="3" spans="1:16" ht="23.25" x14ac:dyDescent="0.35">
      <c r="A3" s="227" t="s">
        <v>119</v>
      </c>
      <c r="B3" s="275">
        <v>20091983</v>
      </c>
      <c r="C3" s="275"/>
      <c r="D3" s="275"/>
      <c r="G3" s="3" t="s">
        <v>1</v>
      </c>
      <c r="I3" s="229">
        <v>1</v>
      </c>
    </row>
    <row r="4" spans="1:16" x14ac:dyDescent="0.2">
      <c r="A4" s="3"/>
      <c r="B4" s="230"/>
      <c r="C4" s="122"/>
      <c r="D4" s="122"/>
      <c r="F4" s="3" t="s">
        <v>2</v>
      </c>
      <c r="G4" s="3"/>
      <c r="I4" s="231" t="s">
        <v>3</v>
      </c>
    </row>
    <row r="5" spans="1:16" ht="23.25" x14ac:dyDescent="0.35">
      <c r="A5" s="227" t="s">
        <v>4</v>
      </c>
      <c r="B5" s="276" t="s">
        <v>33</v>
      </c>
      <c r="C5" s="276"/>
      <c r="F5" s="3" t="s">
        <v>5</v>
      </c>
      <c r="G5" s="3"/>
      <c r="I5" s="231">
        <v>1.5</v>
      </c>
      <c r="M5" s="3" t="s">
        <v>6</v>
      </c>
    </row>
    <row r="6" spans="1:16" ht="12.75" customHeight="1" x14ac:dyDescent="0.2">
      <c r="A6" s="277" t="s">
        <v>129</v>
      </c>
      <c r="B6" s="277"/>
      <c r="C6" s="277"/>
      <c r="D6" s="277"/>
      <c r="E6" s="277"/>
      <c r="F6" s="3" t="s">
        <v>7</v>
      </c>
      <c r="I6" s="232" t="s">
        <v>3</v>
      </c>
      <c r="M6" s="233"/>
      <c r="N6" s="234" t="s">
        <v>8</v>
      </c>
      <c r="O6" s="235" t="s">
        <v>8</v>
      </c>
    </row>
    <row r="7" spans="1:16" x14ac:dyDescent="0.2">
      <c r="A7" s="269" t="s">
        <v>130</v>
      </c>
      <c r="B7" s="269"/>
      <c r="D7" s="236"/>
      <c r="F7" s="3" t="s">
        <v>9</v>
      </c>
      <c r="I7" s="237">
        <v>1</v>
      </c>
      <c r="M7" s="238" t="s">
        <v>10</v>
      </c>
      <c r="N7" s="239" t="s">
        <v>11</v>
      </c>
      <c r="O7" s="240" t="s">
        <v>12</v>
      </c>
    </row>
    <row r="8" spans="1:16" x14ac:dyDescent="0.2">
      <c r="A8" s="26"/>
      <c r="B8" s="241"/>
      <c r="C8" s="242"/>
      <c r="D8" s="242"/>
      <c r="E8" s="241"/>
      <c r="F8" s="242"/>
      <c r="G8" s="242"/>
      <c r="H8" s="241"/>
      <c r="I8" s="242"/>
      <c r="J8" s="242"/>
      <c r="K8" s="26"/>
      <c r="M8" s="243">
        <v>0</v>
      </c>
      <c r="N8" s="23">
        <v>4.3099999999999996</v>
      </c>
      <c r="O8" s="244">
        <v>224</v>
      </c>
    </row>
    <row r="9" spans="1:16" x14ac:dyDescent="0.2">
      <c r="A9" s="245"/>
      <c r="B9" s="26"/>
      <c r="C9" s="26"/>
      <c r="D9" s="246"/>
      <c r="E9" s="26"/>
      <c r="F9" s="26"/>
      <c r="G9" s="26"/>
      <c r="H9" s="26"/>
      <c r="I9" s="26"/>
      <c r="J9" s="26"/>
      <c r="K9" s="26"/>
      <c r="M9" s="243">
        <v>5</v>
      </c>
      <c r="N9" s="23">
        <v>6.15</v>
      </c>
      <c r="O9" s="244">
        <v>320</v>
      </c>
    </row>
    <row r="10" spans="1:16" x14ac:dyDescent="0.2">
      <c r="A10" s="245"/>
      <c r="B10" s="26"/>
      <c r="C10" s="247"/>
      <c r="D10" s="246"/>
      <c r="E10" s="26"/>
      <c r="F10" s="26"/>
      <c r="G10" s="246"/>
      <c r="H10" s="26"/>
      <c r="I10" s="246"/>
      <c r="J10" s="246"/>
      <c r="K10" s="26"/>
      <c r="M10" s="248">
        <v>10</v>
      </c>
      <c r="N10" s="249">
        <v>6.77</v>
      </c>
      <c r="O10" s="250">
        <v>352</v>
      </c>
    </row>
    <row r="11" spans="1:16" x14ac:dyDescent="0.2">
      <c r="A11" s="245"/>
      <c r="B11" s="245"/>
      <c r="C11" s="245"/>
      <c r="D11" s="245"/>
      <c r="E11" s="245"/>
      <c r="F11" s="245"/>
      <c r="G11" s="245"/>
      <c r="H11" s="245"/>
      <c r="I11" s="245"/>
      <c r="J11" s="245"/>
      <c r="K11" s="26"/>
      <c r="P11" s="251"/>
    </row>
    <row r="12" spans="1:16" x14ac:dyDescent="0.2">
      <c r="A12" s="26" t="s">
        <v>126</v>
      </c>
      <c r="B12" s="256">
        <v>42535</v>
      </c>
      <c r="C12" s="245"/>
      <c r="D12" s="252"/>
      <c r="E12" s="245"/>
      <c r="F12" s="245"/>
      <c r="G12" s="252"/>
      <c r="H12" s="245"/>
      <c r="I12" s="245"/>
      <c r="J12" s="252"/>
      <c r="K12" s="26"/>
    </row>
    <row r="13" spans="1:16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6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6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6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1:11" x14ac:dyDescent="0.2">
      <c r="A17" s="258"/>
      <c r="B17" s="258"/>
      <c r="C17" s="258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73" t="str">
        <f>CONCATENATE(B2, ", ", B1)</f>
        <v>Yap, Zach</v>
      </c>
      <c r="B18" s="273"/>
      <c r="C18" s="273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58"/>
      <c r="B19" s="258"/>
      <c r="C19" s="258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58"/>
      <c r="B20" s="258"/>
      <c r="C20" s="258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73" t="str">
        <f>IF(LEFT(B5,3) = "AA-", B5, IF(LEFT(B5,3) = "AG-", B5, IF(LEFT(B5,3) = "AJ-", B5, "Check Dept #")))</f>
        <v>Check Dept #</v>
      </c>
      <c r="B21" s="273"/>
      <c r="C21" s="258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58"/>
      <c r="B22" s="258"/>
      <c r="C22" s="258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58"/>
      <c r="B23" s="258"/>
      <c r="C23" s="258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58"/>
      <c r="B24" s="258"/>
      <c r="C24" s="258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92" spans="1:7" x14ac:dyDescent="0.2">
      <c r="A92" s="3" t="s">
        <v>117</v>
      </c>
    </row>
    <row r="96" spans="1:7" ht="20.25" x14ac:dyDescent="0.3">
      <c r="B96" s="274" t="s">
        <v>22</v>
      </c>
      <c r="C96" s="274"/>
      <c r="D96" s="274"/>
      <c r="E96" s="274"/>
      <c r="F96" s="274"/>
      <c r="G96" s="274"/>
    </row>
    <row r="97" spans="2:23" ht="15" x14ac:dyDescent="0.2">
      <c r="B97" s="253"/>
      <c r="C97" s="1" t="s">
        <v>23</v>
      </c>
      <c r="D97" s="1"/>
      <c r="E97" s="1" t="s">
        <v>24</v>
      </c>
      <c r="F97" s="253"/>
      <c r="G97" s="253"/>
    </row>
    <row r="98" spans="2:23" x14ac:dyDescent="0.2">
      <c r="B98" s="253"/>
      <c r="C98" s="254">
        <v>0.5</v>
      </c>
      <c r="D98" s="254"/>
      <c r="E98" s="254">
        <v>0.5</v>
      </c>
      <c r="F98" s="253" t="s">
        <v>25</v>
      </c>
      <c r="G98" s="253"/>
      <c r="W98" s="23" t="s">
        <v>25</v>
      </c>
    </row>
    <row r="99" spans="2:23" x14ac:dyDescent="0.2">
      <c r="B99" s="253"/>
      <c r="C99" s="254">
        <v>0.54166666666666696</v>
      </c>
      <c r="D99" s="254"/>
      <c r="E99" s="254">
        <v>4.1666666666666699E-2</v>
      </c>
      <c r="F99" s="253" t="s">
        <v>25</v>
      </c>
      <c r="G99" s="253"/>
      <c r="W99" s="23" t="s">
        <v>25</v>
      </c>
    </row>
    <row r="100" spans="2:23" x14ac:dyDescent="0.2">
      <c r="B100" s="253"/>
      <c r="C100" s="254">
        <v>0.58333333333333304</v>
      </c>
      <c r="D100" s="254"/>
      <c r="E100" s="254">
        <v>8.3333333333333301E-2</v>
      </c>
      <c r="F100" s="253" t="s">
        <v>25</v>
      </c>
      <c r="G100" s="253"/>
      <c r="W100" s="23" t="s">
        <v>25</v>
      </c>
    </row>
    <row r="101" spans="2:23" x14ac:dyDescent="0.2">
      <c r="B101" s="253"/>
      <c r="C101" s="254">
        <v>0.625</v>
      </c>
      <c r="D101" s="254"/>
      <c r="E101" s="254">
        <v>0.125</v>
      </c>
      <c r="F101" s="253" t="s">
        <v>25</v>
      </c>
      <c r="G101" s="253"/>
      <c r="W101" s="23" t="s">
        <v>25</v>
      </c>
    </row>
    <row r="102" spans="2:23" x14ac:dyDescent="0.2">
      <c r="B102" s="253"/>
      <c r="C102" s="254">
        <v>0.66666666666666696</v>
      </c>
      <c r="D102" s="254"/>
      <c r="E102" s="254">
        <v>0.16666666666666699</v>
      </c>
      <c r="F102" s="253" t="s">
        <v>25</v>
      </c>
      <c r="G102" s="253"/>
      <c r="W102" s="23" t="s">
        <v>25</v>
      </c>
    </row>
    <row r="103" spans="2:23" x14ac:dyDescent="0.2">
      <c r="B103" s="253"/>
      <c r="C103" s="254">
        <v>0.70833333333333304</v>
      </c>
      <c r="D103" s="254"/>
      <c r="E103" s="254">
        <v>0.20833333333333401</v>
      </c>
      <c r="F103" s="253" t="s">
        <v>25</v>
      </c>
      <c r="G103" s="253"/>
      <c r="W103" s="23" t="s">
        <v>25</v>
      </c>
    </row>
    <row r="104" spans="2:23" x14ac:dyDescent="0.2">
      <c r="B104" s="253"/>
      <c r="C104" s="254">
        <v>0.75</v>
      </c>
      <c r="D104" s="254"/>
      <c r="E104" s="254">
        <v>0.25</v>
      </c>
      <c r="F104" s="253" t="s">
        <v>25</v>
      </c>
      <c r="G104" s="253"/>
      <c r="W104" s="23" t="s">
        <v>25</v>
      </c>
    </row>
    <row r="105" spans="2:23" x14ac:dyDescent="0.2">
      <c r="B105" s="253"/>
      <c r="C105" s="254">
        <v>0.79166666666666596</v>
      </c>
      <c r="D105" s="254"/>
      <c r="E105" s="254">
        <v>0.29166666666666702</v>
      </c>
      <c r="F105" s="253" t="s">
        <v>25</v>
      </c>
      <c r="G105" s="253"/>
      <c r="W105" s="23" t="s">
        <v>25</v>
      </c>
    </row>
    <row r="106" spans="2:23" x14ac:dyDescent="0.2">
      <c r="B106" s="253"/>
      <c r="C106" s="254">
        <v>0.83333333333333304</v>
      </c>
      <c r="D106" s="254"/>
      <c r="E106" s="254">
        <v>0.33333333333333398</v>
      </c>
      <c r="F106" s="253" t="s">
        <v>25</v>
      </c>
      <c r="G106" s="253"/>
      <c r="W106" s="23" t="s">
        <v>25</v>
      </c>
    </row>
    <row r="107" spans="2:23" x14ac:dyDescent="0.2">
      <c r="B107" s="253"/>
      <c r="C107" s="254">
        <v>0.875</v>
      </c>
      <c r="D107" s="254"/>
      <c r="E107" s="254">
        <v>0.375</v>
      </c>
      <c r="F107" s="253" t="s">
        <v>25</v>
      </c>
      <c r="G107" s="253"/>
      <c r="W107" s="23" t="s">
        <v>25</v>
      </c>
    </row>
    <row r="108" spans="2:23" x14ac:dyDescent="0.2">
      <c r="B108" s="253"/>
      <c r="C108" s="254">
        <v>0.91666666666666596</v>
      </c>
      <c r="D108" s="254"/>
      <c r="E108" s="254">
        <v>0.41666666666666702</v>
      </c>
      <c r="F108" s="253" t="s">
        <v>25</v>
      </c>
      <c r="G108" s="253"/>
      <c r="W108" s="23" t="s">
        <v>25</v>
      </c>
    </row>
    <row r="109" spans="2:23" x14ac:dyDescent="0.2">
      <c r="B109" s="253"/>
      <c r="C109" s="254">
        <v>0.95833333333333304</v>
      </c>
      <c r="D109" s="254"/>
      <c r="E109" s="254">
        <v>0.45833333333333398</v>
      </c>
      <c r="F109" s="253" t="s">
        <v>25</v>
      </c>
      <c r="G109" s="253"/>
      <c r="W109" s="23" t="s">
        <v>25</v>
      </c>
    </row>
    <row r="110" spans="2:23" x14ac:dyDescent="0.2">
      <c r="B110" s="253"/>
      <c r="C110" s="255" t="s">
        <v>26</v>
      </c>
      <c r="D110" s="254"/>
      <c r="E110" s="254">
        <v>0.5</v>
      </c>
      <c r="F110" s="253" t="s">
        <v>27</v>
      </c>
      <c r="G110" s="253"/>
      <c r="W110" s="23" t="s">
        <v>27</v>
      </c>
    </row>
    <row r="111" spans="2:23" x14ac:dyDescent="0.2">
      <c r="B111" s="253"/>
      <c r="C111" s="254">
        <v>4.1666666666666699E-2</v>
      </c>
      <c r="D111" s="253"/>
      <c r="E111" s="254">
        <v>4.1666666666666699E-2</v>
      </c>
      <c r="F111" s="253" t="s">
        <v>27</v>
      </c>
      <c r="G111" s="253"/>
      <c r="W111" s="23" t="s">
        <v>27</v>
      </c>
    </row>
    <row r="112" spans="2:23" x14ac:dyDescent="0.2">
      <c r="B112" s="253"/>
      <c r="C112" s="254">
        <v>8.3333333333333301E-2</v>
      </c>
      <c r="D112" s="253"/>
      <c r="E112" s="254">
        <v>8.3333333333333301E-2</v>
      </c>
      <c r="F112" s="253" t="s">
        <v>27</v>
      </c>
      <c r="G112" s="253"/>
      <c r="W112" s="23" t="s">
        <v>27</v>
      </c>
    </row>
    <row r="113" spans="2:23" x14ac:dyDescent="0.2">
      <c r="B113" s="253"/>
      <c r="C113" s="254">
        <v>0.125</v>
      </c>
      <c r="D113" s="253"/>
      <c r="E113" s="254">
        <v>0.125</v>
      </c>
      <c r="F113" s="253" t="s">
        <v>27</v>
      </c>
      <c r="G113" s="253"/>
      <c r="W113" s="23" t="s">
        <v>27</v>
      </c>
    </row>
    <row r="114" spans="2:23" x14ac:dyDescent="0.2">
      <c r="B114" s="253"/>
      <c r="C114" s="253"/>
      <c r="D114" s="253"/>
      <c r="E114" s="253"/>
      <c r="F114" s="253"/>
      <c r="G114" s="253"/>
    </row>
    <row r="115" spans="2:23" x14ac:dyDescent="0.2">
      <c r="B115" s="253"/>
      <c r="C115" s="253"/>
      <c r="D115" s="253"/>
      <c r="E115" s="253"/>
      <c r="F115" s="253"/>
      <c r="G115" s="253"/>
    </row>
    <row r="404" spans="2:2" x14ac:dyDescent="0.2">
      <c r="B404" s="3" t="s">
        <v>28</v>
      </c>
    </row>
  </sheetData>
  <mergeCells count="9">
    <mergeCell ref="A21:B21"/>
    <mergeCell ref="B96:G96"/>
    <mergeCell ref="B2:D2"/>
    <mergeCell ref="B1:D1"/>
    <mergeCell ref="B5:C5"/>
    <mergeCell ref="A18:C18"/>
    <mergeCell ref="B3:D3"/>
    <mergeCell ref="A7:B7"/>
    <mergeCell ref="A6:E6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>
    <pageSetUpPr fitToPage="1"/>
  </sheetPr>
  <dimension ref="A1:DB159"/>
  <sheetViews>
    <sheetView workbookViewId="0">
      <selection activeCell="C12" sqref="C12:D12"/>
    </sheetView>
  </sheetViews>
  <sheetFormatPr defaultColWidth="9.140625" defaultRowHeight="12.75" x14ac:dyDescent="0.2"/>
  <cols>
    <col min="1" max="1" width="5.85546875" style="23" customWidth="1"/>
    <col min="2" max="2" width="5.140625" style="23" customWidth="1"/>
    <col min="3" max="5" width="8.28515625" style="183" customWidth="1"/>
    <col min="6" max="6" width="8.140625" style="183" customWidth="1"/>
    <col min="7" max="9" width="8.28515625" style="102" customWidth="1"/>
    <col min="10" max="10" width="6" style="102" customWidth="1"/>
    <col min="11" max="12" width="5.85546875" style="102" customWidth="1"/>
    <col min="13" max="13" width="6" style="102" customWidth="1"/>
    <col min="14" max="14" width="6.140625" style="102" customWidth="1"/>
    <col min="15" max="15" width="5.140625" style="102" customWidth="1"/>
    <col min="16" max="16" width="5.5703125" style="102" customWidth="1"/>
    <col min="17" max="17" width="8.42578125" style="23" customWidth="1"/>
    <col min="18" max="18" width="6.140625" style="183" hidden="1" customWidth="1"/>
    <col min="19" max="19" width="10.28515625" style="184" hidden="1" customWidth="1"/>
    <col min="20" max="22" width="8.42578125" style="184" hidden="1" customWidth="1"/>
    <col min="23" max="23" width="9.7109375" style="184" hidden="1" customWidth="1"/>
    <col min="24" max="24" width="8.42578125" style="184" hidden="1" customWidth="1"/>
    <col min="25" max="25" width="7.5703125" style="102" customWidth="1"/>
    <col min="26" max="26" width="8.140625" style="102" customWidth="1"/>
    <col min="27" max="16384" width="9.140625" style="23"/>
  </cols>
  <sheetData>
    <row r="1" spans="1:106" ht="6" customHeight="1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8"/>
      <c r="S1" s="29"/>
      <c r="T1" s="29"/>
      <c r="U1" s="29"/>
      <c r="V1" s="29"/>
      <c r="W1" s="29"/>
      <c r="X1" s="29"/>
      <c r="Y1" s="30"/>
      <c r="Z1" s="30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</row>
    <row r="2" spans="1:106" ht="15.75" customHeight="1" x14ac:dyDescent="0.2">
      <c r="A2" s="32" t="s">
        <v>0</v>
      </c>
      <c r="B2" s="32"/>
      <c r="C2" s="289" t="s">
        <v>136</v>
      </c>
      <c r="D2" s="289"/>
      <c r="E2" s="289"/>
      <c r="F2" s="289"/>
      <c r="G2" s="289"/>
      <c r="H2" s="32"/>
      <c r="I2" s="32" t="s">
        <v>119</v>
      </c>
      <c r="J2" s="290">
        <v>20091983</v>
      </c>
      <c r="K2" s="290"/>
      <c r="L2" s="290"/>
      <c r="M2" s="290"/>
      <c r="N2" s="290"/>
      <c r="O2" s="290"/>
      <c r="P2" s="290"/>
      <c r="Q2" s="27"/>
      <c r="R2" s="28"/>
      <c r="S2" s="29" t="s">
        <v>29</v>
      </c>
      <c r="T2" s="29"/>
      <c r="U2" s="29"/>
      <c r="V2" s="27"/>
      <c r="W2" s="33"/>
      <c r="X2" s="27"/>
      <c r="Y2" s="30"/>
      <c r="Z2" s="30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</row>
    <row r="3" spans="1:106" ht="7.5" customHeight="1" x14ac:dyDescent="0.2">
      <c r="A3" s="32"/>
      <c r="B3" s="32"/>
      <c r="C3" s="34"/>
      <c r="D3" s="34"/>
      <c r="E3" s="34"/>
      <c r="F3" s="34"/>
      <c r="G3" s="34"/>
      <c r="H3" s="32"/>
      <c r="I3" s="32"/>
      <c r="J3" s="35"/>
      <c r="K3" s="35"/>
      <c r="L3" s="35"/>
      <c r="M3" s="35"/>
      <c r="N3" s="35"/>
      <c r="O3" s="35"/>
      <c r="P3" s="35"/>
      <c r="Q3" s="27"/>
      <c r="R3" s="28"/>
      <c r="S3" s="29"/>
      <c r="T3" s="29"/>
      <c r="U3" s="29"/>
      <c r="V3" s="27"/>
      <c r="W3" s="33"/>
      <c r="X3" s="27"/>
      <c r="Y3" s="30"/>
      <c r="Z3" s="30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</row>
    <row r="4" spans="1:106" ht="14.1" customHeight="1" x14ac:dyDescent="0.2">
      <c r="A4" s="32" t="s">
        <v>30</v>
      </c>
      <c r="B4" s="32"/>
      <c r="C4" s="294">
        <v>43982</v>
      </c>
      <c r="D4" s="294"/>
      <c r="E4" s="185" t="s">
        <v>31</v>
      </c>
      <c r="F4" s="36"/>
      <c r="G4" s="293">
        <f>START_DATE+13</f>
        <v>43995</v>
      </c>
      <c r="H4" s="293"/>
      <c r="I4" s="32"/>
      <c r="J4" s="32"/>
      <c r="K4" s="291" t="str">
        <f>'Enter Employee Name, CWID'!A21</f>
        <v>Check Dept #</v>
      </c>
      <c r="L4" s="291"/>
      <c r="M4" s="291"/>
      <c r="N4" s="291"/>
      <c r="O4" s="291"/>
      <c r="P4" s="291"/>
      <c r="Q4" s="27"/>
      <c r="R4" s="28"/>
      <c r="S4" s="29" t="s">
        <v>32</v>
      </c>
      <c r="T4" s="29"/>
      <c r="U4" s="29"/>
      <c r="V4" s="29"/>
      <c r="W4" s="30">
        <f>(-W2+C4)/365.25</f>
        <v>120.41615331964408</v>
      </c>
      <c r="X4" s="27"/>
      <c r="Y4" s="30"/>
      <c r="Z4" s="30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</row>
    <row r="5" spans="1:106" ht="8.25" customHeight="1" x14ac:dyDescent="0.2">
      <c r="A5" s="32" t="s">
        <v>33</v>
      </c>
      <c r="B5" s="32"/>
      <c r="C5" s="32"/>
      <c r="D5" s="32"/>
      <c r="E5" s="32"/>
      <c r="F5" s="32"/>
      <c r="G5" s="32"/>
      <c r="H5" s="32"/>
      <c r="I5" s="32"/>
      <c r="J5" s="32"/>
      <c r="K5" s="291"/>
      <c r="L5" s="291"/>
      <c r="M5" s="291"/>
      <c r="N5" s="291"/>
      <c r="O5" s="291"/>
      <c r="P5" s="291"/>
      <c r="Q5" s="27"/>
      <c r="R5" s="28"/>
      <c r="S5" s="29" t="s">
        <v>34</v>
      </c>
      <c r="T5" s="29"/>
      <c r="U5" s="29"/>
      <c r="V5" s="29"/>
      <c r="W5" s="30"/>
      <c r="X5" s="29"/>
      <c r="Y5" s="30"/>
      <c r="Z5" s="30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</row>
    <row r="6" spans="1:106" ht="16.5" customHeight="1" thickBot="1" x14ac:dyDescent="0.3">
      <c r="A6" s="292" t="s">
        <v>35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37"/>
      <c r="N6" s="37"/>
      <c r="O6" s="37"/>
      <c r="P6" s="37"/>
      <c r="Q6" s="27"/>
      <c r="R6" s="28"/>
      <c r="S6" s="29"/>
      <c r="T6" s="29"/>
      <c r="U6" s="29"/>
      <c r="V6" s="29"/>
      <c r="W6" s="30"/>
      <c r="X6" s="29"/>
      <c r="Y6" s="30"/>
      <c r="Z6" s="30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</row>
    <row r="7" spans="1:106" ht="16.5" customHeight="1" thickBot="1" x14ac:dyDescent="0.3">
      <c r="A7" s="281" t="s">
        <v>114</v>
      </c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2"/>
      <c r="M7" s="278" t="s">
        <v>36</v>
      </c>
      <c r="N7" s="279"/>
      <c r="O7" s="38"/>
      <c r="P7" s="30"/>
      <c r="Q7" s="27"/>
      <c r="R7" s="23"/>
      <c r="S7" s="23"/>
      <c r="T7" s="23"/>
      <c r="U7" s="23"/>
      <c r="V7" s="23"/>
      <c r="W7" s="23"/>
      <c r="X7" s="23"/>
      <c r="Y7" s="23"/>
      <c r="Z7" s="23"/>
      <c r="AG7" s="27"/>
      <c r="AH7" s="27"/>
      <c r="AI7" s="27"/>
      <c r="AJ7" s="27"/>
      <c r="AK7" s="27"/>
      <c r="AL7" s="27"/>
      <c r="AM7" s="27"/>
      <c r="AN7" s="27"/>
      <c r="AO7" s="27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</row>
    <row r="8" spans="1:106" ht="15" customHeight="1" thickBot="1" x14ac:dyDescent="0.25">
      <c r="A8" s="39" t="s">
        <v>37</v>
      </c>
      <c r="B8" s="40" t="s">
        <v>38</v>
      </c>
      <c r="C8" s="41" t="s">
        <v>39</v>
      </c>
      <c r="D8" s="41" t="s">
        <v>40</v>
      </c>
      <c r="E8" s="41" t="s">
        <v>39</v>
      </c>
      <c r="F8" s="41" t="s">
        <v>40</v>
      </c>
      <c r="G8" s="42" t="s">
        <v>39</v>
      </c>
      <c r="H8" s="42" t="s">
        <v>40</v>
      </c>
      <c r="I8" s="42" t="s">
        <v>41</v>
      </c>
      <c r="J8" s="42" t="s">
        <v>42</v>
      </c>
      <c r="K8" s="42" t="s">
        <v>43</v>
      </c>
      <c r="L8" s="42" t="s">
        <v>44</v>
      </c>
      <c r="M8" s="43" t="s">
        <v>45</v>
      </c>
      <c r="N8" s="43" t="s">
        <v>46</v>
      </c>
      <c r="O8" s="44" t="s">
        <v>98</v>
      </c>
      <c r="P8" s="45" t="s">
        <v>47</v>
      </c>
      <c r="Q8" s="46"/>
      <c r="R8" s="23"/>
      <c r="S8" s="23"/>
      <c r="T8" s="23"/>
      <c r="U8" s="23"/>
      <c r="V8" s="23"/>
      <c r="W8" s="23"/>
      <c r="X8" s="23"/>
      <c r="Y8" s="23"/>
      <c r="Z8" s="23"/>
      <c r="AG8" s="47"/>
      <c r="AH8" s="47"/>
      <c r="AI8" s="47"/>
      <c r="AJ8" s="47"/>
      <c r="AK8" s="47"/>
      <c r="AL8" s="47"/>
      <c r="AM8" s="47"/>
      <c r="AN8" s="47"/>
      <c r="AO8" s="47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</row>
    <row r="9" spans="1:106" ht="14.1" customHeight="1" x14ac:dyDescent="0.2">
      <c r="A9" s="48">
        <f>START_DATE</f>
        <v>43982</v>
      </c>
      <c r="B9" s="49" t="s">
        <v>49</v>
      </c>
      <c r="C9" s="130"/>
      <c r="D9" s="130"/>
      <c r="E9" s="130"/>
      <c r="F9" s="130"/>
      <c r="G9" s="130"/>
      <c r="H9" s="130"/>
      <c r="I9" s="50">
        <f t="shared" ref="I9" si="0">HoursWorked(C9,D9,E9,F9,G9,H9)</f>
        <v>0</v>
      </c>
      <c r="J9" s="51"/>
      <c r="K9" s="51"/>
      <c r="L9" s="51"/>
      <c r="M9" s="52"/>
      <c r="N9" s="51"/>
      <c r="O9" s="53"/>
      <c r="P9" s="54">
        <f>I9+J9+K9+L9+N9+O9</f>
        <v>0</v>
      </c>
      <c r="Q9" s="46"/>
      <c r="R9" s="23"/>
      <c r="S9" s="23"/>
      <c r="T9" s="23"/>
      <c r="U9" s="23"/>
      <c r="V9" s="23"/>
      <c r="W9" s="23"/>
      <c r="X9" s="23"/>
      <c r="Y9" s="23"/>
      <c r="Z9" s="23"/>
      <c r="AG9" s="55"/>
      <c r="AH9" s="55"/>
      <c r="AI9" s="55"/>
      <c r="AJ9" s="55"/>
      <c r="AK9" s="55"/>
      <c r="AL9" s="55"/>
      <c r="AM9" s="55"/>
      <c r="AN9" s="55"/>
      <c r="AO9" s="55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</row>
    <row r="10" spans="1:106" ht="14.1" customHeight="1" x14ac:dyDescent="0.2">
      <c r="A10" s="48">
        <f t="shared" ref="A10:A15" si="1">A9+1</f>
        <v>43983</v>
      </c>
      <c r="B10" s="49" t="s">
        <v>50</v>
      </c>
      <c r="C10" s="130">
        <v>0.41666666666666669</v>
      </c>
      <c r="D10" s="130">
        <v>0.45833333333333331</v>
      </c>
      <c r="E10" s="130">
        <v>0.60416666666666663</v>
      </c>
      <c r="F10" s="130">
        <v>0.66666666666666663</v>
      </c>
      <c r="G10" s="130">
        <v>0.72916666666666663</v>
      </c>
      <c r="H10" s="130">
        <v>0.75</v>
      </c>
      <c r="I10" s="50">
        <f t="shared" ref="I10:I15" si="2">HoursWorked(C10,D10,E10,F10,G10,H10)</f>
        <v>3</v>
      </c>
      <c r="J10" s="51"/>
      <c r="K10" s="51"/>
      <c r="L10" s="51"/>
      <c r="M10" s="52"/>
      <c r="N10" s="51"/>
      <c r="O10" s="56"/>
      <c r="P10" s="54">
        <f t="shared" ref="P10:P15" si="3">I10+J10+K10+L10+N10+O10</f>
        <v>3</v>
      </c>
      <c r="Q10" s="46"/>
      <c r="R10" s="23"/>
      <c r="S10" s="23"/>
      <c r="T10" s="23"/>
      <c r="U10" s="23"/>
      <c r="V10" s="23"/>
      <c r="W10" s="23"/>
      <c r="X10" s="23"/>
      <c r="Y10" s="23"/>
      <c r="Z10" s="23"/>
      <c r="AG10" s="55"/>
      <c r="AH10" s="55"/>
      <c r="AI10" s="55"/>
      <c r="AJ10" s="55"/>
      <c r="AK10" s="55"/>
      <c r="AL10" s="55"/>
      <c r="AM10" s="55"/>
      <c r="AN10" s="55"/>
      <c r="AO10" s="55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</row>
    <row r="11" spans="1:106" ht="14.1" customHeight="1" x14ac:dyDescent="0.2">
      <c r="A11" s="259">
        <f t="shared" si="1"/>
        <v>43984</v>
      </c>
      <c r="B11" s="49" t="s">
        <v>51</v>
      </c>
      <c r="C11" s="130">
        <v>0.72916666666666663</v>
      </c>
      <c r="D11" s="130">
        <v>0.75</v>
      </c>
      <c r="E11" s="130"/>
      <c r="F11" s="130"/>
      <c r="G11" s="130"/>
      <c r="H11" s="130"/>
      <c r="I11" s="50">
        <f>HoursWorked(C11,D11,E11,F11,G11,H11)</f>
        <v>0.5</v>
      </c>
      <c r="J11" s="57"/>
      <c r="K11" s="57"/>
      <c r="L11" s="57"/>
      <c r="M11" s="58"/>
      <c r="N11" s="51"/>
      <c r="O11" s="260"/>
      <c r="P11" s="54">
        <f t="shared" si="3"/>
        <v>0.5</v>
      </c>
      <c r="Q11" s="46"/>
      <c r="R11" s="23"/>
      <c r="S11" s="23"/>
      <c r="T11" s="23"/>
      <c r="U11" s="23"/>
      <c r="V11" s="23"/>
      <c r="W11" s="23"/>
      <c r="X11" s="23"/>
      <c r="Y11" s="23"/>
      <c r="Z11" s="23"/>
      <c r="AG11" s="55"/>
      <c r="AH11" s="55"/>
      <c r="AI11" s="55"/>
      <c r="AJ11" s="55"/>
      <c r="AK11" s="55"/>
      <c r="AL11" s="55"/>
      <c r="AM11" s="55"/>
      <c r="AN11" s="55"/>
      <c r="AO11" s="55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</row>
    <row r="12" spans="1:106" ht="14.1" customHeight="1" x14ac:dyDescent="0.2">
      <c r="A12" s="48">
        <f t="shared" si="1"/>
        <v>43985</v>
      </c>
      <c r="B12" s="49" t="s">
        <v>52</v>
      </c>
      <c r="C12" s="130">
        <v>0.625</v>
      </c>
      <c r="D12" s="130">
        <v>0.70833333333333337</v>
      </c>
      <c r="E12" s="130"/>
      <c r="F12" s="130"/>
      <c r="G12" s="130"/>
      <c r="H12" s="130"/>
      <c r="I12" s="50">
        <f t="shared" si="2"/>
        <v>2</v>
      </c>
      <c r="J12" s="57"/>
      <c r="K12" s="57"/>
      <c r="L12" s="57"/>
      <c r="M12" s="58"/>
      <c r="N12" s="51"/>
      <c r="O12" s="56"/>
      <c r="P12" s="54">
        <f t="shared" si="3"/>
        <v>2</v>
      </c>
      <c r="Q12" s="46"/>
      <c r="R12" s="23"/>
      <c r="S12" s="23"/>
      <c r="T12" s="23"/>
      <c r="U12" s="23"/>
      <c r="V12" s="23"/>
      <c r="W12" s="23"/>
      <c r="X12" s="23"/>
      <c r="Y12" s="23"/>
      <c r="Z12" s="23"/>
      <c r="AG12" s="55"/>
      <c r="AH12" s="55"/>
      <c r="AI12" s="55"/>
      <c r="AJ12" s="55"/>
      <c r="AK12" s="55"/>
      <c r="AL12" s="55"/>
      <c r="AM12" s="55"/>
      <c r="AN12" s="55"/>
      <c r="AO12" s="55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</row>
    <row r="13" spans="1:106" ht="14.1" customHeight="1" x14ac:dyDescent="0.2">
      <c r="A13" s="48">
        <f t="shared" si="1"/>
        <v>43986</v>
      </c>
      <c r="B13" s="49" t="s">
        <v>53</v>
      </c>
      <c r="C13" s="130">
        <v>0.52083333333333337</v>
      </c>
      <c r="D13" s="130">
        <v>0.5625</v>
      </c>
      <c r="E13" s="130">
        <v>0.625</v>
      </c>
      <c r="F13" s="130">
        <v>0.66666666666666663</v>
      </c>
      <c r="G13" s="130">
        <v>0.72916666666666663</v>
      </c>
      <c r="H13" s="130">
        <v>0.75</v>
      </c>
      <c r="I13" s="50">
        <f t="shared" si="2"/>
        <v>2.5</v>
      </c>
      <c r="J13" s="57"/>
      <c r="K13" s="57"/>
      <c r="L13" s="57"/>
      <c r="M13" s="58"/>
      <c r="N13" s="51"/>
      <c r="O13" s="56"/>
      <c r="P13" s="54">
        <f t="shared" si="3"/>
        <v>2.5</v>
      </c>
      <c r="Q13" s="46"/>
      <c r="R13" s="23"/>
      <c r="S13" s="23"/>
      <c r="T13" s="23"/>
      <c r="U13" s="23"/>
      <c r="V13" s="23"/>
      <c r="W13" s="23"/>
      <c r="X13" s="23"/>
      <c r="Y13" s="23"/>
      <c r="Z13" s="23"/>
      <c r="AG13" s="55"/>
      <c r="AH13" s="55"/>
      <c r="AI13" s="55"/>
      <c r="AJ13" s="55"/>
      <c r="AK13" s="55"/>
      <c r="AL13" s="55"/>
      <c r="AM13" s="55"/>
      <c r="AN13" s="55"/>
      <c r="AO13" s="55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</row>
    <row r="14" spans="1:106" s="16" customFormat="1" ht="14.1" customHeight="1" x14ac:dyDescent="0.2">
      <c r="A14" s="48">
        <f t="shared" si="1"/>
        <v>43987</v>
      </c>
      <c r="B14" s="49" t="s">
        <v>54</v>
      </c>
      <c r="C14" s="130">
        <v>0.29166666666666669</v>
      </c>
      <c r="D14" s="130">
        <v>0.34375</v>
      </c>
      <c r="E14" s="130">
        <v>0.54166666666666663</v>
      </c>
      <c r="F14" s="130">
        <v>0.60416666666666663</v>
      </c>
      <c r="G14" s="130"/>
      <c r="H14" s="130"/>
      <c r="I14" s="50">
        <f t="shared" si="2"/>
        <v>2.75</v>
      </c>
      <c r="J14" s="57"/>
      <c r="K14" s="57"/>
      <c r="L14" s="57"/>
      <c r="M14" s="58"/>
      <c r="N14" s="51"/>
      <c r="O14" s="56"/>
      <c r="P14" s="54">
        <f t="shared" si="3"/>
        <v>2.75</v>
      </c>
      <c r="Q14" s="59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55"/>
      <c r="AH14" s="55"/>
      <c r="AI14" s="55"/>
      <c r="AJ14" s="55"/>
      <c r="AK14" s="55"/>
      <c r="AL14" s="55"/>
      <c r="AM14" s="55"/>
      <c r="AN14" s="55"/>
      <c r="AO14" s="55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</row>
    <row r="15" spans="1:106" s="68" customFormat="1" ht="14.1" customHeight="1" thickBot="1" x14ac:dyDescent="0.25">
      <c r="A15" s="48">
        <f t="shared" si="1"/>
        <v>43988</v>
      </c>
      <c r="B15" s="61" t="s">
        <v>48</v>
      </c>
      <c r="C15" s="130"/>
      <c r="D15" s="130"/>
      <c r="E15" s="130"/>
      <c r="F15" s="130"/>
      <c r="G15" s="130"/>
      <c r="H15" s="130"/>
      <c r="I15" s="50">
        <f t="shared" si="2"/>
        <v>0</v>
      </c>
      <c r="J15" s="62"/>
      <c r="K15" s="62"/>
      <c r="L15" s="62"/>
      <c r="M15" s="63"/>
      <c r="N15" s="64"/>
      <c r="O15" s="65"/>
      <c r="P15" s="54">
        <f t="shared" si="3"/>
        <v>0</v>
      </c>
      <c r="Q15" s="66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55"/>
      <c r="AH15" s="55"/>
      <c r="AI15" s="55"/>
      <c r="AJ15" s="55"/>
      <c r="AK15" s="55"/>
      <c r="AL15" s="55"/>
      <c r="AM15" s="55"/>
      <c r="AN15" s="55"/>
      <c r="AO15" s="55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</row>
    <row r="16" spans="1:106" s="68" customFormat="1" ht="14.1" customHeight="1" thickBot="1" x14ac:dyDescent="0.25">
      <c r="A16" s="69"/>
      <c r="B16" s="70"/>
      <c r="C16" s="70"/>
      <c r="D16" s="70"/>
      <c r="E16" s="71"/>
      <c r="F16" s="71" t="s">
        <v>55</v>
      </c>
      <c r="G16" s="71"/>
      <c r="H16" s="72">
        <v>0</v>
      </c>
      <c r="I16" s="71"/>
      <c r="J16" s="73">
        <f>SUM(J9:J15)</f>
        <v>0</v>
      </c>
      <c r="K16" s="74">
        <f>SUM(K9:K15)</f>
        <v>0</v>
      </c>
      <c r="L16" s="74">
        <f>SUM(L9:L15)</f>
        <v>0</v>
      </c>
      <c r="M16" s="75"/>
      <c r="N16" s="74">
        <f>SUM(N9:N15)</f>
        <v>0</v>
      </c>
      <c r="O16" s="76">
        <f>SUM(O9:O15)</f>
        <v>0</v>
      </c>
      <c r="P16" s="77">
        <f>SUM(P9:P15)</f>
        <v>10.75</v>
      </c>
      <c r="Q16" s="66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55"/>
      <c r="AH16" s="55"/>
      <c r="AI16" s="55"/>
      <c r="AJ16" s="55"/>
      <c r="AK16" s="55"/>
      <c r="AL16" s="55"/>
      <c r="AM16" s="55"/>
      <c r="AN16" s="55"/>
      <c r="AO16" s="78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</row>
    <row r="17" spans="1:106" s="68" customFormat="1" ht="18.75" customHeight="1" thickBot="1" x14ac:dyDescent="0.3">
      <c r="A17" s="79" t="s">
        <v>56</v>
      </c>
      <c r="B17" s="80"/>
      <c r="C17" s="283">
        <f>SUM(I9:I15)</f>
        <v>10.75</v>
      </c>
      <c r="D17" s="283"/>
      <c r="E17" s="81"/>
      <c r="F17" s="81"/>
      <c r="G17" s="81"/>
      <c r="H17" s="82"/>
      <c r="I17" s="83" t="s">
        <v>33</v>
      </c>
      <c r="J17" s="84"/>
      <c r="K17" s="81"/>
      <c r="L17" s="81"/>
      <c r="M17" s="81" t="s">
        <v>57</v>
      </c>
      <c r="N17" s="81"/>
      <c r="O17" s="81"/>
      <c r="P17" s="85">
        <f>C17+T18</f>
        <v>10.75</v>
      </c>
      <c r="Q17" s="66"/>
      <c r="R17" s="32"/>
      <c r="S17" s="86" t="s">
        <v>58</v>
      </c>
      <c r="T17" s="87"/>
      <c r="U17" s="87"/>
      <c r="V17" s="87"/>
      <c r="W17" s="87"/>
      <c r="X17" s="87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</row>
    <row r="18" spans="1:106" s="68" customFormat="1" ht="14.1" customHeight="1" thickBot="1" x14ac:dyDescent="0.25">
      <c r="A18" s="88"/>
      <c r="B18" s="32"/>
      <c r="C18" s="89"/>
      <c r="D18" s="90"/>
      <c r="E18" s="89"/>
      <c r="F18" s="89"/>
      <c r="G18" s="23"/>
      <c r="H18" s="89"/>
      <c r="I18" s="91"/>
      <c r="J18" s="89"/>
      <c r="K18" s="89"/>
      <c r="L18" s="89"/>
      <c r="M18" s="89"/>
      <c r="N18" s="89"/>
      <c r="O18" s="89"/>
      <c r="P18" s="89"/>
      <c r="Q18" s="32"/>
      <c r="R18" s="32"/>
      <c r="S18" s="87" t="s">
        <v>59</v>
      </c>
      <c r="T18" s="92">
        <f>SUM(J16:L16)+N16+O16</f>
        <v>0</v>
      </c>
      <c r="U18" s="87"/>
      <c r="V18" s="87"/>
      <c r="W18" s="87"/>
      <c r="X18" s="87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</row>
    <row r="19" spans="1:106" s="68" customFormat="1" ht="13.5" thickBot="1" x14ac:dyDescent="0.25">
      <c r="A19" s="93" t="s">
        <v>60</v>
      </c>
      <c r="B19" s="94"/>
      <c r="C19" s="95"/>
      <c r="D19" s="96"/>
      <c r="E19" s="27"/>
      <c r="F19" s="27"/>
      <c r="G19" s="97" t="s">
        <v>103</v>
      </c>
      <c r="H19" s="98"/>
      <c r="I19" s="99"/>
      <c r="J19" s="100"/>
      <c r="K19" s="23"/>
      <c r="L19" s="23"/>
      <c r="M19" s="23"/>
      <c r="N19" s="23"/>
      <c r="O19" s="23"/>
      <c r="P19" s="101"/>
      <c r="Q19" s="32"/>
      <c r="R19" s="32"/>
      <c r="S19" s="23" t="s">
        <v>61</v>
      </c>
      <c r="T19" s="102">
        <f>IF((C17-H16+T18)&lt;=40,0,IF(AND((C17-H16)&lt;=40,(C17-H16+T18)&gt;40),((C17-H16+T18)-40),T18))</f>
        <v>0</v>
      </c>
      <c r="U19" s="87"/>
      <c r="V19" s="87"/>
      <c r="W19" s="87"/>
      <c r="X19" s="87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</row>
    <row r="20" spans="1:106" s="68" customFormat="1" x14ac:dyDescent="0.2">
      <c r="A20" s="103" t="s">
        <v>62</v>
      </c>
      <c r="B20" s="104"/>
      <c r="C20" s="104"/>
      <c r="D20" s="105"/>
      <c r="E20" s="27"/>
      <c r="F20" s="27"/>
      <c r="G20" s="106" t="s">
        <v>65</v>
      </c>
      <c r="H20" s="107"/>
      <c r="I20" s="108"/>
      <c r="J20" s="109"/>
      <c r="K20" s="23"/>
      <c r="L20" s="23"/>
      <c r="M20" s="23"/>
      <c r="N20" s="23"/>
      <c r="O20" s="23"/>
      <c r="P20" s="110"/>
      <c r="Q20" s="32"/>
      <c r="R20" s="32"/>
      <c r="S20" s="87" t="s">
        <v>63</v>
      </c>
      <c r="T20" s="92">
        <f>IF((C17-H16)&lt;=40,0,(C17-H16-40))</f>
        <v>0</v>
      </c>
      <c r="U20" s="92">
        <f>ROUND(T20*OvertimeRate,2)</f>
        <v>0</v>
      </c>
      <c r="V20" s="87"/>
      <c r="W20" s="87"/>
      <c r="X20" s="87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</row>
    <row r="21" spans="1:106" s="68" customFormat="1" x14ac:dyDescent="0.2">
      <c r="A21" s="103" t="s">
        <v>64</v>
      </c>
      <c r="B21" s="104"/>
      <c r="C21" s="104"/>
      <c r="D21" s="105"/>
      <c r="E21" s="27"/>
      <c r="F21" s="27"/>
      <c r="G21" s="111" t="s">
        <v>67</v>
      </c>
      <c r="H21" s="112"/>
      <c r="I21" s="113"/>
      <c r="J21" s="114"/>
      <c r="K21" s="285" t="s">
        <v>97</v>
      </c>
      <c r="L21" s="285"/>
      <c r="M21" s="285"/>
      <c r="N21" s="285"/>
      <c r="O21" s="285"/>
      <c r="P21" s="285"/>
      <c r="Q21" s="32"/>
      <c r="R21" s="32"/>
      <c r="S21" s="87"/>
      <c r="T21" s="87"/>
      <c r="U21" s="87"/>
      <c r="V21" s="87"/>
      <c r="W21" s="87"/>
      <c r="X21" s="87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</row>
    <row r="22" spans="1:106" s="68" customFormat="1" x14ac:dyDescent="0.2">
      <c r="A22" s="103" t="s">
        <v>66</v>
      </c>
      <c r="B22" s="104"/>
      <c r="C22" s="104"/>
      <c r="D22" s="105"/>
      <c r="E22" s="27"/>
      <c r="F22" s="115"/>
      <c r="G22" s="116" t="s">
        <v>99</v>
      </c>
      <c r="H22" s="112"/>
      <c r="I22" s="113"/>
      <c r="J22" s="114"/>
      <c r="K22" s="285" t="s">
        <v>96</v>
      </c>
      <c r="L22" s="285"/>
      <c r="M22" s="285"/>
      <c r="N22" s="285"/>
      <c r="O22" s="285"/>
      <c r="P22" s="186"/>
      <c r="Q22" s="32"/>
      <c r="R22" s="32"/>
      <c r="S22" s="87"/>
      <c r="T22" s="87"/>
      <c r="U22" s="87"/>
      <c r="V22" s="87"/>
      <c r="W22" s="87"/>
      <c r="X22" s="87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</row>
    <row r="23" spans="1:106" s="68" customFormat="1" ht="13.5" thickBot="1" x14ac:dyDescent="0.25">
      <c r="A23" s="117" t="s">
        <v>68</v>
      </c>
      <c r="B23" s="118"/>
      <c r="C23" s="118"/>
      <c r="D23" s="119"/>
      <c r="E23" s="27"/>
      <c r="F23" s="27"/>
      <c r="G23" s="111" t="s">
        <v>104</v>
      </c>
      <c r="H23" s="112"/>
      <c r="I23" s="120"/>
      <c r="J23" s="121"/>
      <c r="K23" s="23"/>
      <c r="L23" s="23"/>
      <c r="M23" s="122"/>
      <c r="N23" s="23"/>
      <c r="O23" s="122"/>
      <c r="P23" s="110"/>
      <c r="Q23" s="32"/>
      <c r="R23" s="28"/>
      <c r="S23" s="29"/>
      <c r="T23" s="29"/>
      <c r="U23" s="29"/>
      <c r="V23" s="29"/>
      <c r="W23" s="29"/>
      <c r="X23" s="29"/>
      <c r="Y23" s="30"/>
      <c r="Z23" s="30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</row>
    <row r="24" spans="1:106" s="68" customFormat="1" ht="14.1" customHeight="1" thickBot="1" x14ac:dyDescent="0.25">
      <c r="A24" s="88"/>
      <c r="B24" s="32"/>
      <c r="C24" s="127"/>
      <c r="D24" s="127"/>
      <c r="E24" s="127"/>
      <c r="F24" s="127"/>
      <c r="G24" s="123" t="s">
        <v>118</v>
      </c>
      <c r="H24" s="124"/>
      <c r="I24" s="125"/>
      <c r="J24" s="126"/>
      <c r="K24" s="92"/>
      <c r="L24" s="92"/>
      <c r="O24" s="187"/>
      <c r="P24" s="92"/>
      <c r="Q24" s="32"/>
      <c r="R24" s="28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32"/>
      <c r="AH24" s="32"/>
      <c r="AI24" s="32"/>
      <c r="AJ24" s="32"/>
      <c r="AK24" s="32"/>
      <c r="AL24" s="32"/>
      <c r="AM24" s="32"/>
      <c r="AN24" s="32"/>
      <c r="AO24" s="32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</row>
    <row r="25" spans="1:106" s="68" customFormat="1" ht="14.1" customHeight="1" thickBot="1" x14ac:dyDescent="0.25">
      <c r="A25" s="88"/>
      <c r="B25" s="32"/>
      <c r="C25" s="127"/>
      <c r="D25" s="127"/>
      <c r="E25" s="127"/>
      <c r="F25" s="127"/>
      <c r="G25" s="188"/>
      <c r="H25" s="189"/>
      <c r="I25" s="188"/>
      <c r="J25" s="84"/>
      <c r="K25" s="92"/>
      <c r="L25" s="92"/>
      <c r="M25" s="278" t="s">
        <v>36</v>
      </c>
      <c r="N25" s="279"/>
      <c r="O25" s="190"/>
      <c r="P25" s="82"/>
      <c r="Q25" s="32"/>
      <c r="R25" s="28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32"/>
      <c r="AH25" s="32"/>
      <c r="AI25" s="32"/>
      <c r="AJ25" s="32"/>
      <c r="AK25" s="32"/>
      <c r="AL25" s="32"/>
      <c r="AM25" s="32"/>
      <c r="AN25" s="32"/>
      <c r="AO25" s="32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</row>
    <row r="26" spans="1:106" s="68" customFormat="1" ht="14.25" customHeight="1" thickBot="1" x14ac:dyDescent="0.25">
      <c r="A26" s="128" t="s">
        <v>37</v>
      </c>
      <c r="B26" s="40" t="s">
        <v>38</v>
      </c>
      <c r="C26" s="41" t="s">
        <v>39</v>
      </c>
      <c r="D26" s="41" t="s">
        <v>40</v>
      </c>
      <c r="E26" s="41" t="s">
        <v>39</v>
      </c>
      <c r="F26" s="41" t="s">
        <v>40</v>
      </c>
      <c r="G26" s="42" t="s">
        <v>39</v>
      </c>
      <c r="H26" s="42" t="s">
        <v>40</v>
      </c>
      <c r="I26" s="42" t="s">
        <v>41</v>
      </c>
      <c r="J26" s="42" t="s">
        <v>42</v>
      </c>
      <c r="K26" s="42" t="s">
        <v>43</v>
      </c>
      <c r="L26" s="42" t="s">
        <v>44</v>
      </c>
      <c r="M26" s="43" t="s">
        <v>45</v>
      </c>
      <c r="N26" s="43" t="s">
        <v>46</v>
      </c>
      <c r="O26" s="44" t="s">
        <v>98</v>
      </c>
      <c r="P26" s="129" t="s">
        <v>47</v>
      </c>
      <c r="Q26" s="32"/>
      <c r="R26" s="127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47"/>
      <c r="AH26" s="47"/>
      <c r="AI26" s="47"/>
      <c r="AJ26" s="47"/>
      <c r="AK26" s="47"/>
      <c r="AL26" s="47"/>
      <c r="AM26" s="47"/>
      <c r="AN26" s="47"/>
      <c r="AO26" s="4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</row>
    <row r="27" spans="1:106" s="68" customFormat="1" ht="14.1" customHeight="1" x14ac:dyDescent="0.2">
      <c r="A27" s="48">
        <f>A15+1</f>
        <v>43989</v>
      </c>
      <c r="B27" s="49" t="s">
        <v>49</v>
      </c>
      <c r="C27" s="130"/>
      <c r="D27" s="130"/>
      <c r="E27" s="130"/>
      <c r="F27" s="130"/>
      <c r="G27" s="130"/>
      <c r="H27" s="130"/>
      <c r="I27" s="50">
        <f t="shared" ref="I27:I33" si="4">HoursWorked(C27,D27,E27,F27,G27,H27)</f>
        <v>0</v>
      </c>
      <c r="J27" s="51"/>
      <c r="K27" s="51"/>
      <c r="L27" s="51"/>
      <c r="M27" s="52"/>
      <c r="N27" s="51"/>
      <c r="O27" s="53"/>
      <c r="P27" s="54">
        <f>I27+J27+K27+L27+N27+O27</f>
        <v>0</v>
      </c>
      <c r="Q27" s="32"/>
      <c r="R27" s="127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55"/>
      <c r="AH27" s="55"/>
      <c r="AI27" s="55"/>
      <c r="AJ27" s="55"/>
      <c r="AK27" s="55"/>
      <c r="AL27" s="55"/>
      <c r="AM27" s="55"/>
      <c r="AN27" s="55"/>
      <c r="AO27" s="55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</row>
    <row r="28" spans="1:106" s="68" customFormat="1" ht="14.1" customHeight="1" x14ac:dyDescent="0.2">
      <c r="A28" s="48">
        <f t="shared" ref="A28:A33" si="5">A27+1</f>
        <v>43990</v>
      </c>
      <c r="B28" s="49" t="s">
        <v>50</v>
      </c>
      <c r="C28" s="130">
        <v>0.625</v>
      </c>
      <c r="D28" s="130">
        <v>0.72916666666666663</v>
      </c>
      <c r="E28" s="130"/>
      <c r="F28" s="130"/>
      <c r="G28" s="130"/>
      <c r="H28" s="130"/>
      <c r="I28" s="50">
        <f t="shared" si="4"/>
        <v>2.5</v>
      </c>
      <c r="J28" s="51"/>
      <c r="K28" s="51"/>
      <c r="L28" s="51"/>
      <c r="M28" s="52"/>
      <c r="N28" s="51"/>
      <c r="O28" s="261"/>
      <c r="P28" s="54">
        <f t="shared" ref="P28:P33" si="6">I28+J28+K28+L28+N28+O28</f>
        <v>2.5</v>
      </c>
      <c r="Q28" s="32"/>
      <c r="R28" s="127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55"/>
      <c r="AH28" s="55"/>
      <c r="AI28" s="55"/>
      <c r="AJ28" s="55"/>
      <c r="AK28" s="55"/>
      <c r="AL28" s="55"/>
      <c r="AM28" s="55"/>
      <c r="AN28" s="55"/>
      <c r="AO28" s="55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</row>
    <row r="29" spans="1:106" s="68" customFormat="1" ht="14.1" customHeight="1" x14ac:dyDescent="0.2">
      <c r="A29" s="48">
        <f t="shared" si="5"/>
        <v>43991</v>
      </c>
      <c r="B29" s="49" t="s">
        <v>51</v>
      </c>
      <c r="C29" s="130">
        <v>0.52083333333333337</v>
      </c>
      <c r="D29" s="130">
        <v>0.625</v>
      </c>
      <c r="E29" s="130"/>
      <c r="F29" s="130"/>
      <c r="G29" s="130"/>
      <c r="H29" s="130"/>
      <c r="I29" s="50">
        <f t="shared" si="4"/>
        <v>2.5</v>
      </c>
      <c r="J29" s="57"/>
      <c r="K29" s="57"/>
      <c r="L29" s="57"/>
      <c r="M29" s="58"/>
      <c r="N29" s="51"/>
      <c r="O29" s="56"/>
      <c r="P29" s="54">
        <f t="shared" si="6"/>
        <v>2.5</v>
      </c>
      <c r="Q29" s="32"/>
      <c r="R29" s="127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55"/>
      <c r="AH29" s="55"/>
      <c r="AI29" s="55"/>
      <c r="AJ29" s="55"/>
      <c r="AK29" s="55"/>
      <c r="AL29" s="55"/>
      <c r="AM29" s="55"/>
      <c r="AN29" s="55"/>
      <c r="AO29" s="55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</row>
    <row r="30" spans="1:106" s="68" customFormat="1" ht="14.1" customHeight="1" x14ac:dyDescent="0.2">
      <c r="A30" s="48">
        <f t="shared" si="5"/>
        <v>43992</v>
      </c>
      <c r="B30" s="49" t="s">
        <v>52</v>
      </c>
      <c r="C30" s="130">
        <v>0.54166666666666663</v>
      </c>
      <c r="D30" s="130">
        <v>0.6875</v>
      </c>
      <c r="E30" s="130"/>
      <c r="F30" s="130"/>
      <c r="G30" s="130"/>
      <c r="H30" s="130"/>
      <c r="I30" s="50">
        <f t="shared" si="4"/>
        <v>3.5</v>
      </c>
      <c r="J30" s="57"/>
      <c r="K30" s="57"/>
      <c r="L30" s="57"/>
      <c r="M30" s="58"/>
      <c r="N30" s="51"/>
      <c r="O30" s="56"/>
      <c r="P30" s="54">
        <f t="shared" si="6"/>
        <v>3.5</v>
      </c>
      <c r="Q30" s="32"/>
      <c r="R30" s="27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55"/>
      <c r="AH30" s="55"/>
      <c r="AI30" s="55"/>
      <c r="AJ30" s="55"/>
      <c r="AK30" s="55"/>
      <c r="AL30" s="55"/>
      <c r="AM30" s="55"/>
      <c r="AN30" s="55"/>
      <c r="AO30" s="55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  <c r="DA30" s="67"/>
      <c r="DB30" s="67"/>
    </row>
    <row r="31" spans="1:106" s="68" customFormat="1" ht="14.1" customHeight="1" x14ac:dyDescent="0.2">
      <c r="A31" s="48">
        <f t="shared" si="5"/>
        <v>43993</v>
      </c>
      <c r="B31" s="49" t="s">
        <v>53</v>
      </c>
      <c r="C31" s="130">
        <v>0.54166666666666663</v>
      </c>
      <c r="D31" s="130">
        <v>0.75</v>
      </c>
      <c r="E31" s="130"/>
      <c r="F31" s="130"/>
      <c r="G31" s="130"/>
      <c r="H31" s="130"/>
      <c r="I31" s="50">
        <f t="shared" si="4"/>
        <v>5</v>
      </c>
      <c r="J31" s="57"/>
      <c r="K31" s="57"/>
      <c r="L31" s="57"/>
      <c r="M31" s="58"/>
      <c r="N31" s="51"/>
      <c r="O31" s="56"/>
      <c r="P31" s="54">
        <f t="shared" si="6"/>
        <v>5</v>
      </c>
      <c r="Q31" s="32"/>
      <c r="R31" s="27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55"/>
      <c r="AH31" s="55"/>
      <c r="AI31" s="55"/>
      <c r="AJ31" s="55"/>
      <c r="AK31" s="55"/>
      <c r="AL31" s="55"/>
      <c r="AM31" s="55"/>
      <c r="AN31" s="55"/>
      <c r="AO31" s="55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</row>
    <row r="32" spans="1:106" s="68" customFormat="1" ht="14.1" customHeight="1" x14ac:dyDescent="0.2">
      <c r="A32" s="48">
        <f t="shared" si="5"/>
        <v>43994</v>
      </c>
      <c r="B32" s="49" t="s">
        <v>54</v>
      </c>
      <c r="C32" s="130">
        <v>0.3125</v>
      </c>
      <c r="D32" s="130">
        <v>0.5</v>
      </c>
      <c r="E32" s="130"/>
      <c r="F32" s="130"/>
      <c r="G32" s="130"/>
      <c r="H32" s="130"/>
      <c r="I32" s="50">
        <f t="shared" si="4"/>
        <v>4.5</v>
      </c>
      <c r="J32" s="57"/>
      <c r="K32" s="57"/>
      <c r="L32" s="57"/>
      <c r="M32" s="58"/>
      <c r="N32" s="51"/>
      <c r="O32" s="56"/>
      <c r="P32" s="54">
        <f t="shared" si="6"/>
        <v>4.5</v>
      </c>
      <c r="Q32" s="32"/>
      <c r="R32" s="27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55"/>
      <c r="AH32" s="55"/>
      <c r="AI32" s="55"/>
      <c r="AJ32" s="55"/>
      <c r="AK32" s="55"/>
      <c r="AL32" s="55"/>
      <c r="AM32" s="55"/>
      <c r="AN32" s="55"/>
      <c r="AO32" s="55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</row>
    <row r="33" spans="1:106" s="68" customFormat="1" ht="14.1" customHeight="1" thickBot="1" x14ac:dyDescent="0.25">
      <c r="A33" s="48">
        <f t="shared" si="5"/>
        <v>43995</v>
      </c>
      <c r="B33" s="61" t="s">
        <v>48</v>
      </c>
      <c r="C33" s="130"/>
      <c r="D33" s="130"/>
      <c r="E33" s="130"/>
      <c r="F33" s="130"/>
      <c r="G33" s="131"/>
      <c r="H33" s="131"/>
      <c r="I33" s="50">
        <f t="shared" si="4"/>
        <v>0</v>
      </c>
      <c r="J33" s="62"/>
      <c r="K33" s="62"/>
      <c r="L33" s="62"/>
      <c r="M33" s="63"/>
      <c r="N33" s="64"/>
      <c r="O33" s="65"/>
      <c r="P33" s="54">
        <f t="shared" si="6"/>
        <v>0</v>
      </c>
      <c r="Q33" s="32"/>
      <c r="R33" s="27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55"/>
      <c r="AH33" s="55"/>
      <c r="AI33" s="55"/>
      <c r="AJ33" s="55"/>
      <c r="AK33" s="55"/>
      <c r="AL33" s="55"/>
      <c r="AM33" s="55"/>
      <c r="AN33" s="55"/>
      <c r="AO33" s="55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</row>
    <row r="34" spans="1:106" s="68" customFormat="1" ht="14.1" customHeight="1" thickBot="1" x14ac:dyDescent="0.25">
      <c r="A34" s="132" t="s">
        <v>33</v>
      </c>
      <c r="B34" s="133"/>
      <c r="C34" s="71"/>
      <c r="D34" s="71"/>
      <c r="E34" s="71"/>
      <c r="F34" s="71" t="s">
        <v>55</v>
      </c>
      <c r="G34" s="71"/>
      <c r="H34" s="72">
        <v>0</v>
      </c>
      <c r="I34" s="71"/>
      <c r="J34" s="73">
        <f>SUM(J27:J33)</f>
        <v>0</v>
      </c>
      <c r="K34" s="134">
        <f>SUM(K27:K33)</f>
        <v>0</v>
      </c>
      <c r="L34" s="74">
        <f>SUM(L27:L33)</f>
        <v>0</v>
      </c>
      <c r="M34" s="75"/>
      <c r="N34" s="135">
        <f>SUM(N27:N33)</f>
        <v>0</v>
      </c>
      <c r="O34" s="76">
        <f>SUM(O27:O33)</f>
        <v>0</v>
      </c>
      <c r="P34" s="136">
        <f>SUM(P27:P33)</f>
        <v>18</v>
      </c>
      <c r="Q34" s="32"/>
      <c r="R34" s="27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55"/>
      <c r="AH34" s="55"/>
      <c r="AI34" s="55"/>
      <c r="AJ34" s="55"/>
      <c r="AK34" s="55"/>
      <c r="AL34" s="55"/>
      <c r="AM34" s="55"/>
      <c r="AN34" s="55"/>
      <c r="AO34" s="78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</row>
    <row r="35" spans="1:106" s="68" customFormat="1" ht="14.1" hidden="1" customHeight="1" x14ac:dyDescent="0.2">
      <c r="A35" s="137"/>
      <c r="B35" s="32"/>
      <c r="C35" s="89"/>
      <c r="D35" s="89"/>
      <c r="E35" s="89"/>
      <c r="F35" s="89"/>
      <c r="G35" s="89"/>
      <c r="H35" s="138"/>
      <c r="I35" s="89"/>
      <c r="J35" s="92">
        <f>J34+J16</f>
        <v>0</v>
      </c>
      <c r="K35" s="92">
        <f>K34+K16</f>
        <v>0</v>
      </c>
      <c r="L35" s="92">
        <f>L34+L16</f>
        <v>0</v>
      </c>
      <c r="M35" s="92"/>
      <c r="N35" s="92">
        <f>N34+N16</f>
        <v>0</v>
      </c>
      <c r="O35" s="92">
        <f>O34+O16</f>
        <v>0</v>
      </c>
      <c r="P35" s="139"/>
      <c r="Q35" s="32"/>
      <c r="R35" s="27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55"/>
      <c r="AH35" s="55"/>
      <c r="AI35" s="55"/>
      <c r="AJ35" s="55"/>
      <c r="AK35" s="55"/>
      <c r="AL35" s="55"/>
      <c r="AM35" s="55"/>
      <c r="AN35" s="55"/>
      <c r="AO35" s="78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</row>
    <row r="36" spans="1:106" s="68" customFormat="1" ht="16.5" customHeight="1" thickBot="1" x14ac:dyDescent="0.3">
      <c r="A36" s="79" t="s">
        <v>56</v>
      </c>
      <c r="B36" s="80"/>
      <c r="C36" s="283">
        <f>SUM(I27:I33)</f>
        <v>18</v>
      </c>
      <c r="D36" s="283"/>
      <c r="E36" s="81"/>
      <c r="F36" s="81"/>
      <c r="G36" s="81"/>
      <c r="H36" s="82"/>
      <c r="I36" s="83" t="s">
        <v>33</v>
      </c>
      <c r="J36" s="84"/>
      <c r="K36" s="81"/>
      <c r="L36" s="81"/>
      <c r="M36" s="81" t="s">
        <v>57</v>
      </c>
      <c r="N36" s="81"/>
      <c r="O36" s="81"/>
      <c r="P36" s="140">
        <f>C36+T37</f>
        <v>18</v>
      </c>
      <c r="Q36" s="32"/>
      <c r="R36" s="27"/>
      <c r="S36" s="86" t="s">
        <v>69</v>
      </c>
      <c r="T36" s="87"/>
      <c r="U36" s="87"/>
      <c r="V36" s="29"/>
      <c r="W36" s="29"/>
      <c r="X36" s="29"/>
      <c r="Y36" s="27"/>
      <c r="Z36" s="27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</row>
    <row r="37" spans="1:106" s="68" customFormat="1" ht="18" customHeight="1" thickBot="1" x14ac:dyDescent="0.3">
      <c r="A37" s="141" t="s">
        <v>70</v>
      </c>
      <c r="B37" s="142"/>
      <c r="C37" s="143"/>
      <c r="D37" s="144">
        <f>+C36+C17</f>
        <v>28.75</v>
      </c>
      <c r="E37" s="127"/>
      <c r="F37" s="127"/>
      <c r="G37" s="92"/>
      <c r="H37" s="92"/>
      <c r="I37" s="145" t="s">
        <v>71</v>
      </c>
      <c r="J37" s="135"/>
      <c r="K37" s="135"/>
      <c r="L37" s="135"/>
      <c r="M37" s="135"/>
      <c r="N37" s="135"/>
      <c r="O37" s="287">
        <f>+P36+P17</f>
        <v>28.75</v>
      </c>
      <c r="P37" s="288"/>
      <c r="Q37" s="32"/>
      <c r="R37" s="27"/>
      <c r="S37" s="87" t="s">
        <v>59</v>
      </c>
      <c r="T37" s="92">
        <f>SUM(J34:L34)+N34+O34</f>
        <v>0</v>
      </c>
      <c r="U37" s="87"/>
      <c r="V37" s="29"/>
      <c r="W37" s="29"/>
      <c r="X37" s="29"/>
      <c r="Y37" s="27"/>
      <c r="Z37" s="27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</row>
    <row r="38" spans="1:106" s="68" customFormat="1" ht="8.25" customHeight="1" x14ac:dyDescent="0.2">
      <c r="A38" s="32"/>
      <c r="B38" s="32"/>
      <c r="C38" s="127"/>
      <c r="D38" s="146"/>
      <c r="E38" s="127"/>
      <c r="F38" s="127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32"/>
      <c r="R38" s="27"/>
      <c r="S38" s="87"/>
      <c r="T38" s="92"/>
      <c r="U38" s="87"/>
      <c r="V38" s="29"/>
      <c r="W38" s="29"/>
      <c r="X38" s="29"/>
      <c r="Y38" s="27"/>
      <c r="Z38" s="27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</row>
    <row r="39" spans="1:106" s="68" customFormat="1" ht="14.1" customHeight="1" x14ac:dyDescent="0.2">
      <c r="A39" s="32"/>
      <c r="B39" s="32"/>
      <c r="C39" s="127"/>
      <c r="D39" s="127"/>
      <c r="E39" s="286" t="s">
        <v>113</v>
      </c>
      <c r="F39" s="286"/>
      <c r="G39" s="286"/>
      <c r="H39" s="286"/>
      <c r="I39" s="286"/>
      <c r="J39" s="286"/>
      <c r="K39" s="286"/>
      <c r="L39" s="286"/>
      <c r="M39" s="286"/>
      <c r="N39" s="286"/>
      <c r="O39" s="286"/>
      <c r="P39" s="286"/>
      <c r="Q39" s="32"/>
      <c r="R39" s="27"/>
      <c r="S39" s="23" t="s">
        <v>61</v>
      </c>
      <c r="T39" s="102">
        <f>IF((C36-H34+T37)&lt;=40,0,IF(AND((C36-H34)&lt;=40,(C36-H34+T37)&gt;40),((C36-H34+T37)-40),T37))</f>
        <v>0</v>
      </c>
      <c r="U39" s="87"/>
      <c r="V39" s="29"/>
      <c r="W39" s="29"/>
      <c r="X39" s="29"/>
      <c r="Y39" s="27"/>
      <c r="Z39" s="27"/>
      <c r="AA39" s="32"/>
      <c r="AB39" s="32"/>
      <c r="AC39" s="32"/>
      <c r="AD39" s="32"/>
      <c r="AE39" s="32"/>
      <c r="AF39" s="32"/>
      <c r="AG39" s="55"/>
      <c r="AH39" s="55"/>
      <c r="AI39" s="55"/>
      <c r="AJ39" s="55"/>
      <c r="AK39" s="55"/>
      <c r="AL39" s="55"/>
      <c r="AM39" s="55"/>
      <c r="AN39" s="92"/>
      <c r="AO39" s="32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</row>
    <row r="40" spans="1:106" s="68" customFormat="1" ht="8.25" customHeight="1" thickBot="1" x14ac:dyDescent="0.25">
      <c r="A40" s="32"/>
      <c r="B40" s="32"/>
      <c r="C40" s="127"/>
      <c r="D40" s="127"/>
      <c r="E40" s="127"/>
      <c r="F40" s="127"/>
      <c r="G40" s="147"/>
      <c r="H40" s="92"/>
      <c r="I40" s="92"/>
      <c r="J40" s="92"/>
      <c r="K40" s="92"/>
      <c r="L40" s="92"/>
      <c r="M40" s="92"/>
      <c r="N40" s="92"/>
      <c r="O40" s="92"/>
      <c r="P40" s="92"/>
      <c r="Q40" s="32"/>
      <c r="R40" s="27"/>
      <c r="S40" s="23"/>
      <c r="T40" s="102"/>
      <c r="U40" s="87"/>
      <c r="V40" s="29"/>
      <c r="W40" s="29"/>
      <c r="X40" s="29"/>
      <c r="Y40" s="27"/>
      <c r="Z40" s="27"/>
      <c r="AA40" s="32"/>
      <c r="AB40" s="32"/>
      <c r="AC40" s="32"/>
      <c r="AD40" s="32"/>
      <c r="AE40" s="32"/>
      <c r="AF40" s="32"/>
      <c r="AG40" s="55"/>
      <c r="AH40" s="55"/>
      <c r="AI40" s="55"/>
      <c r="AJ40" s="55"/>
      <c r="AK40" s="55"/>
      <c r="AL40" s="55"/>
      <c r="AM40" s="55"/>
      <c r="AN40" s="92"/>
      <c r="AO40" s="32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</row>
    <row r="41" spans="1:106" s="68" customFormat="1" ht="14.1" customHeight="1" x14ac:dyDescent="0.2">
      <c r="A41" s="23"/>
      <c r="B41" s="23"/>
      <c r="C41" s="272" t="s">
        <v>72</v>
      </c>
      <c r="D41" s="272"/>
      <c r="E41" s="272"/>
      <c r="F41" s="23"/>
      <c r="G41" s="23"/>
      <c r="H41" s="27"/>
      <c r="I41" s="148" t="s">
        <v>73</v>
      </c>
      <c r="J41" s="149"/>
      <c r="K41" s="149"/>
      <c r="L41" s="149"/>
      <c r="M41" s="150"/>
      <c r="N41" s="151" t="e">
        <f>#REF!</f>
        <v>#REF!</v>
      </c>
      <c r="O41" s="152"/>
      <c r="P41" s="23"/>
      <c r="Q41" s="23"/>
      <c r="R41" s="29"/>
      <c r="S41" s="87" t="s">
        <v>63</v>
      </c>
      <c r="T41" s="92">
        <f>IF((C36-H34)&lt;=40,0,(C36-H34-40))</f>
        <v>0</v>
      </c>
      <c r="U41" s="92">
        <f>ROUND(T41*OvertimeRate,2)</f>
        <v>0</v>
      </c>
      <c r="V41" s="29"/>
      <c r="W41" s="29"/>
      <c r="X41" s="29"/>
      <c r="Y41" s="27"/>
      <c r="Z41" s="27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</row>
    <row r="42" spans="1:106" s="68" customFormat="1" ht="14.1" customHeight="1" x14ac:dyDescent="0.2">
      <c r="A42" s="23"/>
      <c r="B42" s="23"/>
      <c r="C42" s="284" t="s">
        <v>74</v>
      </c>
      <c r="D42" s="284"/>
      <c r="E42" s="280">
        <f>J35</f>
        <v>0</v>
      </c>
      <c r="F42" s="280"/>
      <c r="G42" s="23"/>
      <c r="H42" s="27"/>
      <c r="I42" s="153"/>
      <c r="J42" s="154" t="s">
        <v>75</v>
      </c>
      <c r="K42" s="154"/>
      <c r="L42" s="154"/>
      <c r="M42" s="155"/>
      <c r="N42" s="156">
        <f>paidOTWeek2+paidOTWeek1</f>
        <v>0</v>
      </c>
      <c r="O42" s="157"/>
      <c r="P42" s="23"/>
      <c r="Q42" s="23"/>
      <c r="R42" s="87"/>
      <c r="S42" s="27"/>
      <c r="T42" s="27"/>
      <c r="U42" s="27"/>
      <c r="V42" s="27"/>
      <c r="W42" s="87"/>
      <c r="X42" s="87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A42" s="67"/>
      <c r="DB42" s="67"/>
    </row>
    <row r="43" spans="1:106" s="68" customFormat="1" ht="14.1" customHeight="1" x14ac:dyDescent="0.2">
      <c r="A43" s="23"/>
      <c r="B43" s="23"/>
      <c r="C43" s="284"/>
      <c r="D43" s="284"/>
      <c r="E43" s="280"/>
      <c r="F43" s="280"/>
      <c r="G43" s="23"/>
      <c r="H43" s="27"/>
      <c r="I43" s="153" t="s">
        <v>76</v>
      </c>
      <c r="J43" s="158"/>
      <c r="K43" s="158"/>
      <c r="L43" s="158"/>
      <c r="M43" s="155"/>
      <c r="N43" s="156">
        <f>IF(EligibleforOvertime = "Y",T19+U20+T39+U41,0)</f>
        <v>0</v>
      </c>
      <c r="O43" s="157"/>
      <c r="P43" s="23"/>
      <c r="Q43" s="23"/>
      <c r="R43" s="87"/>
      <c r="S43" s="27"/>
      <c r="T43" s="27"/>
      <c r="U43" s="27"/>
      <c r="V43" s="27"/>
      <c r="W43" s="87"/>
      <c r="X43" s="87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A43" s="67"/>
      <c r="DB43" s="67"/>
    </row>
    <row r="44" spans="1:106" s="68" customFormat="1" ht="14.1" customHeight="1" x14ac:dyDescent="0.2">
      <c r="A44" s="23"/>
      <c r="B44" s="23"/>
      <c r="C44" s="284" t="s">
        <v>77</v>
      </c>
      <c r="D44" s="284"/>
      <c r="E44" s="280">
        <f>K35</f>
        <v>0</v>
      </c>
      <c r="F44" s="280"/>
      <c r="G44" s="23"/>
      <c r="H44" s="27"/>
      <c r="I44" s="153" t="s">
        <v>78</v>
      </c>
      <c r="J44" s="158"/>
      <c r="K44" s="158"/>
      <c r="L44" s="158"/>
      <c r="M44" s="155"/>
      <c r="N44" s="156" t="e">
        <f>SUM(N41+N43)</f>
        <v>#REF!</v>
      </c>
      <c r="O44" s="159"/>
      <c r="P44" s="23"/>
      <c r="Q44" s="23"/>
      <c r="R44" s="87"/>
      <c r="S44" s="27"/>
      <c r="T44" s="27"/>
      <c r="U44" s="27"/>
      <c r="V44" s="27"/>
      <c r="W44" s="87"/>
      <c r="X44" s="87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</row>
    <row r="45" spans="1:106" s="68" customFormat="1" ht="14.1" customHeight="1" x14ac:dyDescent="0.2">
      <c r="A45" s="23"/>
      <c r="B45" s="23"/>
      <c r="C45" s="284"/>
      <c r="D45" s="284"/>
      <c r="E45" s="280"/>
      <c r="F45" s="280"/>
      <c r="G45" s="23"/>
      <c r="H45" s="27"/>
      <c r="I45" s="153" t="s">
        <v>79</v>
      </c>
      <c r="J45" s="158"/>
      <c r="K45" s="158"/>
      <c r="L45" s="158"/>
      <c r="M45" s="155"/>
      <c r="N45" s="156">
        <f>L16+L34</f>
        <v>0</v>
      </c>
      <c r="O45" s="157"/>
      <c r="P45" s="23"/>
      <c r="Q45" s="23"/>
      <c r="R45" s="87"/>
      <c r="S45" s="27"/>
      <c r="T45" s="27"/>
      <c r="U45" s="27"/>
      <c r="V45" s="27"/>
      <c r="W45" s="87"/>
      <c r="X45" s="87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</row>
    <row r="46" spans="1:106" s="68" customFormat="1" ht="15" customHeight="1" thickBot="1" x14ac:dyDescent="0.3">
      <c r="A46" s="23"/>
      <c r="B46" s="23"/>
      <c r="C46" s="160"/>
      <c r="D46" s="160"/>
      <c r="E46" s="161"/>
      <c r="F46" s="3"/>
      <c r="G46" s="23"/>
      <c r="H46" s="27"/>
      <c r="I46" s="162" t="s">
        <v>80</v>
      </c>
      <c r="J46" s="82"/>
      <c r="K46" s="82"/>
      <c r="L46" s="82"/>
      <c r="M46" s="163"/>
      <c r="N46" s="164" t="e">
        <f>ROUND(SUM(N44-N45),2)</f>
        <v>#REF!</v>
      </c>
      <c r="O46" s="159"/>
      <c r="P46" s="23"/>
      <c r="Q46" s="23"/>
      <c r="R46" s="87"/>
      <c r="S46" s="27"/>
      <c r="T46" s="27"/>
      <c r="U46" s="27"/>
      <c r="V46" s="27"/>
      <c r="W46" s="87"/>
      <c r="X46" s="87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</row>
    <row r="47" spans="1:106" s="68" customFormat="1" ht="12" customHeight="1" x14ac:dyDescent="0.2">
      <c r="A47" s="32"/>
      <c r="B47" s="32"/>
      <c r="C47" s="284" t="s">
        <v>81</v>
      </c>
      <c r="D47" s="284"/>
      <c r="E47" s="280">
        <f>L35</f>
        <v>0</v>
      </c>
      <c r="F47" s="280"/>
      <c r="G47" s="23"/>
      <c r="H47" s="27"/>
      <c r="I47" s="32" t="s">
        <v>120</v>
      </c>
      <c r="J47" s="92"/>
      <c r="K47" s="92"/>
      <c r="L47" s="92"/>
      <c r="M47" s="92"/>
      <c r="N47" s="92"/>
      <c r="O47" s="92"/>
      <c r="P47" s="92"/>
      <c r="Q47" s="27"/>
      <c r="R47" s="87"/>
      <c r="S47" s="27"/>
      <c r="T47" s="27"/>
      <c r="U47" s="27"/>
      <c r="V47" s="27"/>
      <c r="W47" s="87"/>
      <c r="X47" s="87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</row>
    <row r="48" spans="1:106" s="68" customFormat="1" ht="9.75" customHeight="1" x14ac:dyDescent="0.2">
      <c r="A48" s="32"/>
      <c r="B48" s="32"/>
      <c r="C48" s="284"/>
      <c r="D48" s="284"/>
      <c r="E48" s="280"/>
      <c r="F48" s="280"/>
      <c r="G48" s="23"/>
      <c r="H48" s="27"/>
      <c r="I48" s="32"/>
      <c r="J48" s="92"/>
      <c r="K48" s="92"/>
      <c r="L48" s="92"/>
      <c r="M48" s="92"/>
      <c r="N48" s="92"/>
      <c r="O48" s="92"/>
      <c r="P48" s="32"/>
      <c r="Q48" s="27"/>
      <c r="R48" s="27"/>
      <c r="S48" s="27"/>
      <c r="T48" s="27"/>
      <c r="U48" s="27"/>
      <c r="V48" s="27"/>
      <c r="W48" s="87"/>
      <c r="X48" s="87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</row>
    <row r="49" spans="1:106" s="68" customFormat="1" ht="14.1" customHeight="1" thickBot="1" x14ac:dyDescent="0.25">
      <c r="A49" s="32"/>
      <c r="B49" s="32"/>
      <c r="C49" s="284" t="s">
        <v>82</v>
      </c>
      <c r="D49" s="284"/>
      <c r="E49" s="280">
        <f>N35</f>
        <v>0</v>
      </c>
      <c r="F49" s="280"/>
      <c r="G49" s="23"/>
      <c r="H49" s="165"/>
      <c r="I49" s="296" t="s">
        <v>83</v>
      </c>
      <c r="J49" s="296"/>
      <c r="K49" s="296"/>
      <c r="L49" s="296"/>
      <c r="M49" s="296"/>
      <c r="N49" s="296"/>
      <c r="O49" s="296"/>
      <c r="P49" s="296"/>
      <c r="Q49" s="32"/>
      <c r="R49" s="87"/>
      <c r="S49" s="27"/>
      <c r="T49" s="87"/>
      <c r="U49" s="87"/>
      <c r="V49" s="87"/>
      <c r="W49" s="87"/>
      <c r="X49" s="87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</row>
    <row r="50" spans="1:106" s="68" customFormat="1" ht="14.1" customHeight="1" x14ac:dyDescent="0.2">
      <c r="A50" s="32"/>
      <c r="B50" s="32"/>
      <c r="C50" s="284"/>
      <c r="D50" s="284"/>
      <c r="E50" s="280"/>
      <c r="F50" s="280"/>
      <c r="G50" s="23"/>
      <c r="H50" s="47" t="s">
        <v>84</v>
      </c>
      <c r="I50" s="296" t="s">
        <v>85</v>
      </c>
      <c r="J50" s="296"/>
      <c r="K50" s="296"/>
      <c r="L50" s="296"/>
      <c r="M50" s="296"/>
      <c r="N50" s="296"/>
      <c r="O50" s="296"/>
      <c r="P50" s="296"/>
      <c r="Q50" s="32"/>
      <c r="R50" s="87"/>
      <c r="S50" s="27"/>
      <c r="T50" s="87"/>
      <c r="U50" s="87"/>
      <c r="V50" s="87"/>
      <c r="W50" s="87"/>
      <c r="X50" s="87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</row>
    <row r="51" spans="1:106" s="68" customFormat="1" ht="5.25" customHeight="1" x14ac:dyDescent="0.2">
      <c r="A51" s="32"/>
      <c r="B51" s="32"/>
      <c r="C51" s="166"/>
      <c r="D51" s="166"/>
      <c r="E51" s="167"/>
      <c r="F51" s="147"/>
      <c r="H51" s="47"/>
      <c r="I51" s="168"/>
      <c r="J51" s="168"/>
      <c r="K51" s="168"/>
      <c r="L51" s="168"/>
      <c r="M51" s="168"/>
      <c r="N51" s="168"/>
      <c r="O51" s="168"/>
      <c r="P51" s="168"/>
      <c r="Q51" s="32"/>
      <c r="R51" s="87"/>
      <c r="S51" s="27"/>
      <c r="T51" s="87"/>
      <c r="U51" s="87"/>
      <c r="V51" s="87"/>
      <c r="W51" s="87"/>
      <c r="X51" s="87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</row>
    <row r="52" spans="1:106" s="68" customFormat="1" ht="14.1" customHeight="1" x14ac:dyDescent="0.2">
      <c r="A52" s="32"/>
      <c r="B52" s="32"/>
      <c r="C52" s="284" t="s">
        <v>102</v>
      </c>
      <c r="D52" s="284"/>
      <c r="E52" s="280">
        <f>O35</f>
        <v>0</v>
      </c>
      <c r="F52" s="280"/>
      <c r="H52" s="47"/>
      <c r="I52" s="168"/>
      <c r="J52" s="168"/>
      <c r="K52" s="168"/>
      <c r="L52" s="168"/>
      <c r="M52" s="168"/>
      <c r="N52" s="168"/>
      <c r="O52" s="168"/>
      <c r="P52" s="168"/>
      <c r="Q52" s="32"/>
      <c r="R52" s="87"/>
      <c r="S52" s="27"/>
      <c r="T52" s="87"/>
      <c r="U52" s="87"/>
      <c r="V52" s="87"/>
      <c r="W52" s="87"/>
      <c r="X52" s="87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</row>
    <row r="53" spans="1:106" s="68" customFormat="1" ht="14.1" customHeight="1" x14ac:dyDescent="0.2">
      <c r="A53" s="32"/>
      <c r="B53" s="32"/>
      <c r="C53" s="284"/>
      <c r="D53" s="284"/>
      <c r="E53" s="280"/>
      <c r="F53" s="280"/>
      <c r="H53" s="47"/>
      <c r="I53" s="168"/>
      <c r="J53" s="168"/>
      <c r="K53" s="168"/>
      <c r="L53" s="168"/>
      <c r="M53" s="168"/>
      <c r="N53" s="168"/>
      <c r="O53" s="168"/>
      <c r="P53" s="168"/>
      <c r="Q53" s="32"/>
      <c r="R53" s="87"/>
      <c r="S53" s="27"/>
      <c r="T53" s="87"/>
      <c r="U53" s="87"/>
      <c r="V53" s="87"/>
      <c r="W53" s="87"/>
      <c r="X53" s="87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</row>
    <row r="54" spans="1:106" s="68" customFormat="1" ht="8.25" customHeight="1" x14ac:dyDescent="0.2">
      <c r="A54" s="32"/>
      <c r="B54" s="32"/>
      <c r="C54" s="166"/>
      <c r="D54" s="166"/>
      <c r="E54" s="167"/>
      <c r="F54" s="147"/>
      <c r="H54" s="47"/>
      <c r="I54" s="168"/>
      <c r="J54" s="168"/>
      <c r="K54" s="168"/>
      <c r="L54" s="168"/>
      <c r="M54" s="168"/>
      <c r="N54" s="168"/>
      <c r="O54" s="168"/>
      <c r="P54" s="168"/>
      <c r="Q54" s="32"/>
      <c r="R54" s="87"/>
      <c r="S54" s="27"/>
      <c r="T54" s="87"/>
      <c r="U54" s="87"/>
      <c r="V54" s="87"/>
      <c r="W54" s="87"/>
      <c r="X54" s="87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</row>
    <row r="55" spans="1:106" s="68" customFormat="1" ht="8.25" customHeight="1" x14ac:dyDescent="0.2">
      <c r="A55" s="32"/>
      <c r="B55" s="32"/>
      <c r="C55" s="166"/>
      <c r="D55" s="297"/>
      <c r="E55" s="297"/>
      <c r="F55" s="297"/>
      <c r="G55" s="297"/>
      <c r="H55" s="297"/>
      <c r="I55" s="297"/>
      <c r="J55" s="297"/>
      <c r="K55" s="32"/>
      <c r="L55" s="32"/>
      <c r="M55" s="32"/>
      <c r="N55" s="32"/>
      <c r="O55" s="32"/>
      <c r="P55" s="32"/>
      <c r="Q55" s="32"/>
      <c r="R55" s="87"/>
      <c r="S55" s="27"/>
      <c r="T55" s="87"/>
      <c r="U55" s="87"/>
      <c r="V55" s="87"/>
      <c r="W55" s="87"/>
      <c r="X55" s="87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</row>
    <row r="56" spans="1:106" s="68" customFormat="1" ht="15" customHeight="1" thickBot="1" x14ac:dyDescent="0.3">
      <c r="A56" s="169" t="s">
        <v>95</v>
      </c>
      <c r="B56" s="32"/>
      <c r="C56" s="32"/>
      <c r="D56" s="298"/>
      <c r="E56" s="298"/>
      <c r="F56" s="298"/>
      <c r="G56" s="298"/>
      <c r="H56" s="298"/>
      <c r="I56" s="298"/>
      <c r="J56" s="298"/>
      <c r="K56" s="32"/>
      <c r="L56" s="32"/>
      <c r="M56" s="32"/>
      <c r="N56" s="32"/>
      <c r="O56" s="32"/>
      <c r="P56" s="32"/>
      <c r="Q56" s="32"/>
      <c r="R56" s="87"/>
      <c r="S56" s="27"/>
      <c r="T56" s="87"/>
      <c r="U56" s="87"/>
      <c r="V56" s="87"/>
      <c r="W56" s="87"/>
      <c r="X56" s="87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  <c r="DB56" s="67"/>
    </row>
    <row r="57" spans="1:106" s="68" customFormat="1" ht="12.75" customHeight="1" x14ac:dyDescent="0.25">
      <c r="A57" s="32"/>
      <c r="B57" s="32"/>
      <c r="C57" s="32"/>
      <c r="D57" s="170"/>
      <c r="E57" s="170"/>
      <c r="F57" s="171"/>
      <c r="G57" s="171"/>
      <c r="H57" s="47"/>
      <c r="I57" s="32"/>
      <c r="J57" s="32"/>
      <c r="K57" s="32"/>
      <c r="L57" s="32"/>
      <c r="M57" s="32"/>
      <c r="N57" s="32"/>
      <c r="O57" s="32"/>
      <c r="P57" s="32"/>
      <c r="Q57" s="32"/>
      <c r="R57" s="87"/>
      <c r="S57" s="27"/>
      <c r="T57" s="87"/>
      <c r="U57" s="87"/>
      <c r="V57" s="87"/>
      <c r="W57" s="87"/>
      <c r="X57" s="87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</row>
    <row r="58" spans="1:106" s="68" customFormat="1" ht="14.1" customHeight="1" x14ac:dyDescent="0.2">
      <c r="A58" s="32" t="s">
        <v>133</v>
      </c>
      <c r="B58" s="32"/>
      <c r="C58" s="32"/>
      <c r="D58" s="32"/>
      <c r="E58" s="32"/>
      <c r="F58" s="32"/>
      <c r="G58" s="27"/>
      <c r="H58" s="27"/>
      <c r="J58" s="32"/>
      <c r="K58" s="32"/>
      <c r="L58" s="32"/>
      <c r="M58" s="32"/>
      <c r="N58" s="32"/>
      <c r="O58" s="32"/>
      <c r="P58" s="32"/>
      <c r="Q58" s="32"/>
      <c r="R58" s="87"/>
      <c r="S58" s="27"/>
      <c r="T58" s="87"/>
      <c r="U58" s="87"/>
      <c r="V58" s="87"/>
      <c r="W58" s="87"/>
      <c r="X58" s="87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</row>
    <row r="59" spans="1:106" s="68" customFormat="1" ht="14.1" customHeight="1" x14ac:dyDescent="0.2">
      <c r="A59" s="67" t="s">
        <v>131</v>
      </c>
      <c r="B59" s="67"/>
      <c r="C59" s="172"/>
      <c r="D59" s="172"/>
      <c r="E59" s="172"/>
      <c r="F59" s="172"/>
      <c r="G59" s="138"/>
      <c r="H59" s="27"/>
      <c r="I59" s="32"/>
      <c r="J59" s="32"/>
      <c r="K59" s="32"/>
      <c r="L59" s="32"/>
      <c r="M59" s="32"/>
      <c r="N59" s="32"/>
      <c r="O59" s="32"/>
      <c r="P59" s="138"/>
      <c r="Q59" s="67"/>
      <c r="R59" s="67"/>
      <c r="S59" s="173"/>
      <c r="T59" s="173"/>
      <c r="U59" s="173"/>
      <c r="V59" s="173"/>
      <c r="W59" s="173"/>
      <c r="X59" s="173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</row>
    <row r="60" spans="1:106" s="68" customFormat="1" ht="14.1" customHeight="1" x14ac:dyDescent="0.2">
      <c r="A60" s="67" t="s">
        <v>132</v>
      </c>
      <c r="B60" s="67"/>
      <c r="C60" s="172"/>
      <c r="D60" s="172"/>
      <c r="E60" s="172"/>
      <c r="F60" s="172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67"/>
      <c r="R60" s="67"/>
      <c r="S60" s="173"/>
      <c r="T60" s="173"/>
      <c r="U60" s="173"/>
      <c r="V60" s="173"/>
      <c r="W60" s="173"/>
      <c r="X60" s="173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</row>
    <row r="61" spans="1:106" s="68" customFormat="1" ht="14.25" customHeight="1" x14ac:dyDescent="0.2">
      <c r="A61" s="67"/>
      <c r="B61" s="67"/>
      <c r="C61" s="172"/>
      <c r="D61" s="172"/>
      <c r="E61" s="2"/>
      <c r="F61" s="172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67"/>
      <c r="R61" s="67"/>
      <c r="S61" s="173"/>
      <c r="T61" s="173"/>
      <c r="U61" s="173"/>
      <c r="V61" s="173"/>
      <c r="W61" s="173"/>
      <c r="X61" s="173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</row>
    <row r="62" spans="1:106" s="68" customFormat="1" ht="13.5" thickBot="1" x14ac:dyDescent="0.25">
      <c r="A62" s="67"/>
      <c r="B62" s="67"/>
      <c r="C62" s="67"/>
      <c r="D62" s="295" t="s">
        <v>86</v>
      </c>
      <c r="E62" s="295"/>
      <c r="F62" s="295"/>
      <c r="G62" s="295"/>
      <c r="H62" s="174"/>
      <c r="I62" s="174"/>
      <c r="J62" s="174"/>
      <c r="K62" s="175"/>
      <c r="L62" s="175"/>
      <c r="M62" s="175"/>
      <c r="N62" s="176"/>
      <c r="O62" s="176"/>
      <c r="P62" s="177"/>
      <c r="Q62" s="177"/>
      <c r="R62" s="67"/>
      <c r="S62" s="173"/>
      <c r="T62" s="173"/>
      <c r="U62" s="173"/>
      <c r="V62" s="173"/>
      <c r="W62" s="173"/>
      <c r="X62" s="173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</row>
    <row r="63" spans="1:106" s="68" customFormat="1" ht="19.5" customHeight="1" x14ac:dyDescent="0.2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178"/>
      <c r="O63" s="178"/>
      <c r="P63" s="178"/>
      <c r="Q63" s="177"/>
      <c r="R63" s="67"/>
      <c r="S63" s="173"/>
      <c r="T63" s="173"/>
      <c r="U63" s="173"/>
      <c r="V63" s="173"/>
      <c r="W63" s="173"/>
      <c r="X63" s="173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</row>
    <row r="64" spans="1:106" s="68" customFormat="1" ht="13.5" thickBot="1" x14ac:dyDescent="0.25">
      <c r="B64" s="67"/>
      <c r="C64" s="67"/>
      <c r="D64" s="295" t="s">
        <v>87</v>
      </c>
      <c r="E64" s="295"/>
      <c r="F64" s="295"/>
      <c r="G64" s="295"/>
      <c r="H64" s="175"/>
      <c r="I64" s="175"/>
      <c r="J64" s="175"/>
      <c r="K64" s="175"/>
      <c r="L64" s="175"/>
      <c r="M64" s="175"/>
      <c r="N64" s="176"/>
      <c r="O64" s="176"/>
      <c r="P64" s="178"/>
      <c r="Q64" s="177"/>
      <c r="R64" s="67"/>
      <c r="S64" s="173"/>
      <c r="T64" s="173"/>
      <c r="U64" s="173"/>
      <c r="V64" s="173"/>
      <c r="W64" s="173"/>
      <c r="X64" s="173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</row>
    <row r="65" spans="1:106" s="68" customFormat="1" x14ac:dyDescent="0.2">
      <c r="A65" s="31"/>
      <c r="B65" s="31"/>
      <c r="C65" s="179"/>
      <c r="D65" s="179"/>
      <c r="E65" s="180"/>
      <c r="F65" s="180"/>
      <c r="G65" s="178"/>
      <c r="H65" s="178"/>
      <c r="I65" s="178"/>
      <c r="J65" s="178"/>
      <c r="K65" s="181"/>
      <c r="L65" s="178"/>
      <c r="M65" s="178"/>
      <c r="N65" s="178"/>
      <c r="O65" s="178"/>
      <c r="P65" s="177"/>
      <c r="Q65" s="177"/>
      <c r="R65" s="31"/>
      <c r="S65" s="173"/>
      <c r="T65" s="173"/>
      <c r="U65" s="173"/>
      <c r="V65" s="173"/>
      <c r="W65" s="173"/>
      <c r="X65" s="173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</row>
    <row r="66" spans="1:106" s="68" customFormat="1" x14ac:dyDescent="0.2">
      <c r="A66" s="31"/>
      <c r="B66" s="31"/>
      <c r="C66" s="179"/>
      <c r="D66" s="179"/>
      <c r="E66" s="179"/>
      <c r="F66" s="179"/>
      <c r="G66" s="181"/>
      <c r="H66" s="181"/>
      <c r="I66" s="181"/>
      <c r="J66" s="181"/>
      <c r="K66" s="181"/>
      <c r="L66" s="181"/>
      <c r="M66" s="181"/>
      <c r="N66" s="181"/>
      <c r="O66" s="181"/>
      <c r="P66" s="31"/>
      <c r="Q66" s="31"/>
      <c r="R66" s="31"/>
      <c r="S66" s="173"/>
      <c r="T66" s="173"/>
      <c r="U66" s="173"/>
      <c r="V66" s="173"/>
      <c r="W66" s="173"/>
      <c r="X66" s="173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</row>
    <row r="67" spans="1:106" s="68" customFormat="1" x14ac:dyDescent="0.2">
      <c r="A67" s="31"/>
      <c r="B67" s="181"/>
      <c r="C67" s="179"/>
      <c r="D67" s="179"/>
      <c r="E67" s="179"/>
      <c r="F67" s="179"/>
      <c r="G67" s="181"/>
      <c r="H67" s="181"/>
      <c r="I67" s="181"/>
      <c r="J67" s="181"/>
      <c r="K67" s="181"/>
      <c r="L67" s="181"/>
      <c r="M67" s="181"/>
      <c r="N67" s="181"/>
      <c r="O67" s="181"/>
      <c r="P67" s="31"/>
      <c r="Q67" s="31"/>
      <c r="R67" s="31"/>
      <c r="S67" s="173"/>
      <c r="T67" s="173"/>
      <c r="U67" s="173"/>
      <c r="V67" s="173"/>
      <c r="W67" s="173"/>
      <c r="X67" s="173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</row>
    <row r="68" spans="1:106" s="68" customFormat="1" x14ac:dyDescent="0.2">
      <c r="A68" s="31"/>
      <c r="B68" s="181"/>
      <c r="C68" s="179"/>
      <c r="D68" s="179"/>
      <c r="E68" s="179"/>
      <c r="F68" s="179"/>
      <c r="G68" s="181"/>
      <c r="H68" s="181"/>
      <c r="I68" s="181"/>
      <c r="J68" s="181"/>
      <c r="K68" s="181"/>
      <c r="L68" s="181"/>
      <c r="M68" s="181"/>
      <c r="N68" s="181"/>
      <c r="O68" s="181"/>
      <c r="P68" s="31"/>
      <c r="Q68" s="31"/>
      <c r="R68" s="31"/>
      <c r="S68" s="173"/>
      <c r="T68" s="173"/>
      <c r="U68" s="173"/>
      <c r="V68" s="173"/>
      <c r="W68" s="173"/>
      <c r="X68" s="173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</row>
    <row r="69" spans="1:106" s="68" customFormat="1" x14ac:dyDescent="0.2">
      <c r="A69" s="31"/>
      <c r="B69" s="31"/>
      <c r="C69" s="179"/>
      <c r="D69" s="179"/>
      <c r="E69" s="179"/>
      <c r="F69" s="179"/>
      <c r="G69" s="181"/>
      <c r="H69" s="181"/>
      <c r="I69" s="181"/>
      <c r="J69" s="181"/>
      <c r="K69" s="181"/>
      <c r="L69" s="181"/>
      <c r="M69" s="181"/>
      <c r="N69" s="181"/>
      <c r="O69" s="181"/>
      <c r="P69" s="31"/>
      <c r="Q69" s="31"/>
      <c r="R69" s="31"/>
      <c r="S69" s="173"/>
      <c r="T69" s="173"/>
      <c r="U69" s="173"/>
      <c r="V69" s="173"/>
      <c r="W69" s="173"/>
      <c r="X69" s="173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</row>
    <row r="70" spans="1:106" s="68" customFormat="1" x14ac:dyDescent="0.2">
      <c r="A70" s="31"/>
      <c r="B70" s="31"/>
      <c r="C70" s="179"/>
      <c r="D70" s="179"/>
      <c r="E70" s="179"/>
      <c r="F70" s="179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31"/>
      <c r="R70" s="172"/>
      <c r="S70" s="173"/>
      <c r="T70" s="173"/>
      <c r="U70" s="173"/>
      <c r="V70" s="173"/>
      <c r="W70" s="173"/>
      <c r="X70" s="173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</row>
    <row r="71" spans="1:106" s="68" customFormat="1" x14ac:dyDescent="0.2">
      <c r="A71" s="31"/>
      <c r="B71" s="31"/>
      <c r="C71" s="179"/>
      <c r="D71" s="179"/>
      <c r="E71" s="179"/>
      <c r="F71" s="179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67"/>
      <c r="R71" s="172"/>
      <c r="S71" s="173"/>
      <c r="T71" s="173"/>
      <c r="U71" s="173"/>
      <c r="V71" s="173"/>
      <c r="W71" s="173"/>
      <c r="X71" s="173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</row>
    <row r="72" spans="1:106" s="68" customFormat="1" x14ac:dyDescent="0.2">
      <c r="A72" s="31"/>
      <c r="B72" s="31"/>
      <c r="C72" s="179"/>
      <c r="D72" s="179"/>
      <c r="E72" s="179"/>
      <c r="F72" s="179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67"/>
      <c r="R72" s="172"/>
      <c r="S72" s="173"/>
      <c r="T72" s="173"/>
      <c r="U72" s="173"/>
      <c r="V72" s="173"/>
      <c r="W72" s="173"/>
      <c r="X72" s="173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</row>
    <row r="73" spans="1:106" s="68" customFormat="1" x14ac:dyDescent="0.2">
      <c r="A73" s="31"/>
      <c r="B73" s="31"/>
      <c r="C73" s="179"/>
      <c r="D73" s="179"/>
      <c r="E73" s="179"/>
      <c r="F73" s="179"/>
      <c r="G73" s="181"/>
      <c r="H73" s="181"/>
      <c r="I73" s="181"/>
      <c r="J73" s="181"/>
      <c r="K73" s="181"/>
      <c r="L73" s="181"/>
      <c r="M73" s="181"/>
      <c r="N73" s="181"/>
      <c r="O73" s="181"/>
      <c r="P73" s="178"/>
      <c r="Q73" s="67"/>
      <c r="R73" s="172"/>
      <c r="S73" s="173"/>
      <c r="T73" s="173"/>
      <c r="U73" s="173"/>
      <c r="V73" s="173"/>
      <c r="W73" s="173"/>
      <c r="X73" s="173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</row>
    <row r="74" spans="1:106" s="68" customFormat="1" x14ac:dyDescent="0.2">
      <c r="A74" s="31"/>
      <c r="B74" s="31"/>
      <c r="C74" s="179"/>
      <c r="D74" s="179"/>
      <c r="E74" s="179"/>
      <c r="F74" s="179"/>
      <c r="G74" s="181"/>
      <c r="H74" s="181"/>
      <c r="I74" s="181"/>
      <c r="J74" s="181"/>
      <c r="K74" s="181"/>
      <c r="L74" s="181"/>
      <c r="M74" s="181"/>
      <c r="N74" s="181"/>
      <c r="O74" s="181"/>
      <c r="P74" s="178"/>
      <c r="Q74" s="67"/>
      <c r="R74" s="67"/>
      <c r="S74" s="173"/>
      <c r="T74" s="173"/>
      <c r="U74" s="173"/>
      <c r="V74" s="173"/>
      <c r="W74" s="173"/>
      <c r="X74" s="173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</row>
    <row r="75" spans="1:106" s="68" customFormat="1" x14ac:dyDescent="0.2">
      <c r="A75" s="31"/>
      <c r="B75" s="31"/>
      <c r="C75" s="179"/>
      <c r="D75" s="179"/>
      <c r="E75" s="179"/>
      <c r="F75" s="179"/>
      <c r="G75" s="181"/>
      <c r="H75" s="181"/>
      <c r="I75" s="181"/>
      <c r="J75" s="181"/>
      <c r="K75" s="181"/>
      <c r="L75" s="181"/>
      <c r="M75" s="181"/>
      <c r="N75" s="181"/>
      <c r="O75" s="181"/>
      <c r="P75" s="178"/>
      <c r="Q75" s="67"/>
      <c r="R75" s="172"/>
      <c r="S75" s="173"/>
      <c r="T75" s="173"/>
      <c r="U75" s="173"/>
      <c r="V75" s="173"/>
      <c r="W75" s="173"/>
      <c r="X75" s="173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</row>
    <row r="76" spans="1:106" s="68" customFormat="1" x14ac:dyDescent="0.2">
      <c r="A76" s="31"/>
      <c r="B76" s="31"/>
      <c r="C76" s="179"/>
      <c r="D76" s="179"/>
      <c r="E76" s="179"/>
      <c r="F76" s="179"/>
      <c r="G76" s="181"/>
      <c r="H76" s="181"/>
      <c r="I76" s="181"/>
      <c r="J76" s="181"/>
      <c r="K76" s="181"/>
      <c r="L76" s="181"/>
      <c r="M76" s="181"/>
      <c r="N76" s="181"/>
      <c r="O76" s="181"/>
      <c r="P76" s="178"/>
      <c r="Q76" s="177"/>
      <c r="R76" s="172"/>
      <c r="S76" s="173"/>
      <c r="T76" s="173"/>
      <c r="U76" s="173"/>
      <c r="V76" s="173"/>
      <c r="W76" s="173"/>
      <c r="X76" s="173"/>
      <c r="Y76" s="138"/>
      <c r="Z76" s="138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</row>
    <row r="77" spans="1:106" s="68" customFormat="1" x14ac:dyDescent="0.2">
      <c r="A77" s="31"/>
      <c r="B77" s="31"/>
      <c r="C77" s="179"/>
      <c r="D77" s="179"/>
      <c r="E77" s="179"/>
      <c r="F77" s="179"/>
      <c r="G77" s="181"/>
      <c r="H77" s="181"/>
      <c r="I77" s="181"/>
      <c r="J77" s="181"/>
      <c r="K77" s="181"/>
      <c r="L77" s="181"/>
      <c r="M77" s="181"/>
      <c r="N77" s="181"/>
      <c r="O77" s="181"/>
      <c r="P77" s="178"/>
      <c r="Q77" s="177"/>
      <c r="R77" s="31"/>
      <c r="S77" s="173"/>
      <c r="T77" s="173"/>
      <c r="U77" s="173"/>
      <c r="V77" s="173"/>
      <c r="W77" s="173"/>
      <c r="X77" s="173"/>
      <c r="Y77" s="138"/>
      <c r="Z77" s="138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</row>
    <row r="78" spans="1:106" s="68" customFormat="1" x14ac:dyDescent="0.2">
      <c r="A78" s="31"/>
      <c r="B78" s="31"/>
      <c r="C78" s="179"/>
      <c r="D78" s="179"/>
      <c r="E78" s="179"/>
      <c r="F78" s="179"/>
      <c r="G78" s="181"/>
      <c r="H78" s="181"/>
      <c r="I78" s="181"/>
      <c r="J78" s="181"/>
      <c r="K78" s="181"/>
      <c r="L78" s="181"/>
      <c r="M78" s="181"/>
      <c r="N78" s="181"/>
      <c r="O78" s="181"/>
      <c r="P78" s="178"/>
      <c r="Q78" s="177"/>
      <c r="R78" s="31"/>
      <c r="S78" s="173"/>
      <c r="T78" s="182"/>
      <c r="U78" s="182"/>
      <c r="V78" s="182"/>
      <c r="W78" s="173"/>
      <c r="X78" s="173"/>
      <c r="Y78" s="138"/>
      <c r="Z78" s="138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</row>
    <row r="79" spans="1:106" s="68" customFormat="1" x14ac:dyDescent="0.2">
      <c r="A79" s="31"/>
      <c r="B79" s="31"/>
      <c r="C79" s="179"/>
      <c r="D79" s="179"/>
      <c r="E79" s="179"/>
      <c r="F79" s="179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31"/>
      <c r="R79" s="31"/>
      <c r="S79" s="173"/>
      <c r="T79" s="182"/>
      <c r="U79" s="182"/>
      <c r="V79" s="182"/>
      <c r="W79" s="173"/>
      <c r="X79" s="173"/>
      <c r="Y79" s="138"/>
      <c r="Z79" s="138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</row>
    <row r="80" spans="1:106" x14ac:dyDescent="0.2">
      <c r="A80" s="31"/>
      <c r="B80" s="31"/>
      <c r="C80" s="179"/>
      <c r="D80" s="179"/>
      <c r="E80" s="179"/>
      <c r="F80" s="179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31"/>
      <c r="R80" s="31"/>
      <c r="S80" s="173"/>
      <c r="T80" s="182"/>
      <c r="U80" s="182"/>
      <c r="V80" s="182"/>
      <c r="W80" s="173"/>
      <c r="X80" s="173"/>
      <c r="Y80" s="138"/>
      <c r="Z80" s="138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</row>
    <row r="81" spans="1:106" x14ac:dyDescent="0.2">
      <c r="A81" s="31"/>
      <c r="B81" s="31"/>
      <c r="C81" s="179"/>
      <c r="D81" s="179"/>
      <c r="E81" s="179"/>
      <c r="F81" s="179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31"/>
      <c r="R81" s="31"/>
      <c r="S81" s="173"/>
      <c r="T81" s="182"/>
      <c r="U81" s="182"/>
      <c r="V81" s="182"/>
      <c r="W81" s="173"/>
      <c r="X81" s="173"/>
      <c r="Y81" s="138"/>
      <c r="Z81" s="138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</row>
    <row r="82" spans="1:106" x14ac:dyDescent="0.2">
      <c r="A82" s="31"/>
      <c r="B82" s="31"/>
      <c r="C82" s="179"/>
      <c r="D82" s="179"/>
      <c r="E82" s="179"/>
      <c r="F82" s="179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31"/>
      <c r="R82" s="31"/>
      <c r="S82" s="173"/>
      <c r="T82" s="182"/>
      <c r="U82" s="182"/>
      <c r="V82" s="182"/>
      <c r="W82" s="173"/>
      <c r="X82" s="173"/>
      <c r="Y82" s="138"/>
      <c r="Z82" s="138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</row>
    <row r="83" spans="1:106" x14ac:dyDescent="0.2">
      <c r="A83" s="31"/>
      <c r="B83" s="31"/>
      <c r="C83" s="179"/>
      <c r="D83" s="179"/>
      <c r="E83" s="179"/>
      <c r="F83" s="179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31"/>
      <c r="R83" s="31"/>
      <c r="S83" s="173"/>
      <c r="T83" s="182"/>
      <c r="U83" s="182"/>
      <c r="V83" s="182"/>
      <c r="W83" s="173"/>
      <c r="X83" s="173"/>
      <c r="Y83" s="138"/>
      <c r="Z83" s="138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</row>
    <row r="84" spans="1:106" x14ac:dyDescent="0.2">
      <c r="A84" s="31"/>
      <c r="B84" s="31"/>
      <c r="C84" s="179"/>
      <c r="D84" s="179"/>
      <c r="E84" s="179"/>
      <c r="F84" s="179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31"/>
      <c r="R84" s="31"/>
      <c r="S84" s="173"/>
      <c r="T84" s="182"/>
      <c r="U84" s="182"/>
      <c r="V84" s="182"/>
      <c r="W84" s="173"/>
      <c r="X84" s="173"/>
      <c r="Y84" s="138"/>
      <c r="Z84" s="138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</row>
    <row r="85" spans="1:106" x14ac:dyDescent="0.2">
      <c r="A85" s="31"/>
      <c r="B85" s="31"/>
      <c r="C85" s="179"/>
      <c r="D85" s="179"/>
      <c r="E85" s="179"/>
      <c r="F85" s="179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31"/>
      <c r="R85" s="31"/>
      <c r="S85" s="173"/>
      <c r="T85" s="182"/>
      <c r="U85" s="182"/>
      <c r="V85" s="182"/>
      <c r="W85" s="173"/>
      <c r="X85" s="173"/>
      <c r="Y85" s="138"/>
      <c r="Z85" s="138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</row>
    <row r="86" spans="1:106" x14ac:dyDescent="0.2">
      <c r="A86" s="31"/>
      <c r="B86" s="31"/>
      <c r="C86" s="179"/>
      <c r="D86" s="179"/>
      <c r="E86" s="179"/>
      <c r="F86" s="179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31"/>
      <c r="R86" s="172"/>
      <c r="S86" s="173"/>
      <c r="T86" s="173"/>
      <c r="U86" s="173"/>
      <c r="V86" s="173"/>
      <c r="W86" s="173"/>
      <c r="X86" s="173"/>
      <c r="Y86" s="138"/>
      <c r="Z86" s="138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</row>
    <row r="87" spans="1:106" x14ac:dyDescent="0.2">
      <c r="A87" s="31"/>
      <c r="B87" s="31"/>
      <c r="C87" s="179"/>
      <c r="D87" s="179"/>
      <c r="E87" s="179"/>
      <c r="F87" s="179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31"/>
      <c r="R87" s="172"/>
      <c r="S87" s="173"/>
      <c r="T87" s="173"/>
      <c r="U87" s="173"/>
      <c r="V87" s="173"/>
      <c r="W87" s="173"/>
      <c r="X87" s="173"/>
      <c r="Y87" s="138"/>
      <c r="Z87" s="138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</row>
    <row r="88" spans="1:106" x14ac:dyDescent="0.2">
      <c r="A88" s="31"/>
      <c r="B88" s="31"/>
      <c r="C88" s="179"/>
      <c r="D88" s="179"/>
      <c r="E88" s="179"/>
      <c r="F88" s="179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77"/>
      <c r="R88" s="172"/>
      <c r="S88" s="173"/>
      <c r="T88" s="173"/>
      <c r="U88" s="173"/>
      <c r="V88" s="173"/>
      <c r="W88" s="173"/>
      <c r="X88" s="173"/>
      <c r="Y88" s="138"/>
      <c r="Z88" s="138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</row>
    <row r="89" spans="1:106" x14ac:dyDescent="0.2">
      <c r="A89" s="31"/>
      <c r="B89" s="31"/>
      <c r="C89" s="179"/>
      <c r="D89" s="179"/>
      <c r="E89" s="179"/>
      <c r="F89" s="179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77"/>
      <c r="R89" s="172"/>
      <c r="S89" s="173"/>
      <c r="T89" s="173"/>
      <c r="U89" s="173"/>
      <c r="V89" s="173"/>
      <c r="W89" s="173"/>
      <c r="X89" s="173"/>
      <c r="Y89" s="138"/>
      <c r="Z89" s="138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</row>
    <row r="90" spans="1:106" x14ac:dyDescent="0.2">
      <c r="A90" s="31"/>
      <c r="B90" s="31"/>
      <c r="C90" s="179"/>
      <c r="D90" s="179"/>
      <c r="E90" s="179"/>
      <c r="F90" s="179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77"/>
      <c r="R90" s="172"/>
      <c r="S90" s="173"/>
      <c r="T90" s="173"/>
      <c r="U90" s="173"/>
      <c r="V90" s="173"/>
      <c r="W90" s="173"/>
      <c r="X90" s="173"/>
      <c r="Y90" s="138"/>
      <c r="Z90" s="138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</row>
    <row r="91" spans="1:106" x14ac:dyDescent="0.2">
      <c r="A91" s="31"/>
      <c r="B91" s="31"/>
      <c r="C91" s="179"/>
      <c r="D91" s="179"/>
      <c r="E91" s="179"/>
      <c r="F91" s="179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31"/>
      <c r="R91" s="179"/>
      <c r="S91" s="173"/>
      <c r="T91" s="173"/>
      <c r="U91" s="173"/>
      <c r="V91" s="173"/>
      <c r="W91" s="173"/>
      <c r="X91" s="173"/>
      <c r="Y91" s="138"/>
      <c r="Z91" s="138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</row>
    <row r="92" spans="1:106" x14ac:dyDescent="0.2">
      <c r="A92" s="31"/>
      <c r="B92" s="31"/>
      <c r="C92" s="179"/>
      <c r="D92" s="179"/>
      <c r="E92" s="179"/>
      <c r="F92" s="179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31"/>
      <c r="R92" s="179"/>
      <c r="S92" s="182"/>
      <c r="T92" s="182"/>
      <c r="U92" s="182"/>
      <c r="V92" s="182"/>
      <c r="W92" s="182"/>
      <c r="X92" s="182"/>
      <c r="Y92" s="181"/>
      <c r="Z92" s="18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</row>
    <row r="93" spans="1:106" x14ac:dyDescent="0.2">
      <c r="A93" s="31"/>
      <c r="B93" s="31"/>
      <c r="C93" s="179"/>
      <c r="D93" s="179"/>
      <c r="E93" s="179"/>
      <c r="F93" s="179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31"/>
      <c r="R93" s="179"/>
      <c r="S93" s="182"/>
      <c r="T93" s="182"/>
      <c r="U93" s="182"/>
      <c r="V93" s="182"/>
      <c r="W93" s="182"/>
      <c r="X93" s="182"/>
      <c r="Y93" s="181"/>
      <c r="Z93" s="18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</row>
    <row r="94" spans="1:106" x14ac:dyDescent="0.2">
      <c r="A94" s="31"/>
      <c r="B94" s="31"/>
      <c r="C94" s="179"/>
      <c r="D94" s="179"/>
      <c r="E94" s="179"/>
      <c r="F94" s="179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31"/>
      <c r="R94" s="179"/>
      <c r="S94" s="182"/>
      <c r="T94" s="182"/>
      <c r="U94" s="182"/>
      <c r="V94" s="182"/>
      <c r="W94" s="182"/>
      <c r="X94" s="182"/>
      <c r="Y94" s="181"/>
      <c r="Z94" s="18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</row>
    <row r="95" spans="1:106" x14ac:dyDescent="0.2">
      <c r="A95" s="31"/>
      <c r="B95" s="31"/>
      <c r="C95" s="179"/>
      <c r="D95" s="179"/>
      <c r="E95" s="179"/>
      <c r="F95" s="179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31"/>
      <c r="R95" s="179"/>
      <c r="S95" s="182"/>
      <c r="T95" s="182"/>
      <c r="U95" s="182"/>
      <c r="V95" s="182"/>
      <c r="W95" s="182"/>
      <c r="X95" s="182"/>
      <c r="Y95" s="181"/>
      <c r="Z95" s="18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</row>
    <row r="96" spans="1:106" x14ac:dyDescent="0.2">
      <c r="A96" s="31"/>
      <c r="B96" s="31"/>
      <c r="C96" s="179"/>
      <c r="D96" s="179"/>
      <c r="E96" s="179"/>
      <c r="F96" s="179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31"/>
      <c r="R96" s="179"/>
      <c r="S96" s="182"/>
      <c r="T96" s="182"/>
      <c r="U96" s="182"/>
      <c r="V96" s="182"/>
      <c r="W96" s="182"/>
      <c r="X96" s="182"/>
      <c r="Y96" s="181"/>
      <c r="Z96" s="18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</row>
    <row r="97" spans="1:106" x14ac:dyDescent="0.2">
      <c r="A97" s="31"/>
      <c r="B97" s="31"/>
      <c r="C97" s="179"/>
      <c r="D97" s="179"/>
      <c r="E97" s="179"/>
      <c r="F97" s="179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31"/>
      <c r="R97" s="179"/>
      <c r="S97" s="182"/>
      <c r="T97" s="182"/>
      <c r="U97" s="182"/>
      <c r="V97" s="182"/>
      <c r="W97" s="182"/>
      <c r="X97" s="182"/>
      <c r="Y97" s="181"/>
      <c r="Z97" s="18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</row>
    <row r="98" spans="1:106" x14ac:dyDescent="0.2">
      <c r="A98" s="31"/>
      <c r="B98" s="31"/>
      <c r="C98" s="179"/>
      <c r="D98" s="179"/>
      <c r="E98" s="179"/>
      <c r="F98" s="179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31"/>
      <c r="R98" s="179"/>
      <c r="S98" s="182"/>
      <c r="T98" s="182"/>
      <c r="U98" s="182"/>
      <c r="V98" s="182"/>
      <c r="W98" s="182"/>
      <c r="X98" s="182"/>
      <c r="Y98" s="181"/>
      <c r="Z98" s="18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</row>
    <row r="99" spans="1:106" x14ac:dyDescent="0.2">
      <c r="A99" s="31"/>
      <c r="B99" s="31"/>
      <c r="C99" s="179"/>
      <c r="D99" s="179"/>
      <c r="E99" s="179"/>
      <c r="F99" s="179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31"/>
      <c r="R99" s="179"/>
      <c r="S99" s="182"/>
      <c r="T99" s="182"/>
      <c r="U99" s="182"/>
      <c r="V99" s="182"/>
      <c r="W99" s="182"/>
      <c r="X99" s="182"/>
      <c r="Y99" s="181"/>
      <c r="Z99" s="18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</row>
    <row r="100" spans="1:106" x14ac:dyDescent="0.2">
      <c r="A100" s="31"/>
      <c r="B100" s="31"/>
      <c r="C100" s="179"/>
      <c r="D100" s="179"/>
      <c r="E100" s="179"/>
      <c r="F100" s="179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31"/>
      <c r="R100" s="179"/>
      <c r="S100" s="182"/>
      <c r="T100" s="182"/>
      <c r="U100" s="182"/>
      <c r="V100" s="182"/>
      <c r="W100" s="182"/>
      <c r="X100" s="182"/>
      <c r="Y100" s="181"/>
      <c r="Z100" s="18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</row>
    <row r="101" spans="1:106" x14ac:dyDescent="0.2">
      <c r="A101" s="31"/>
      <c r="B101" s="31"/>
      <c r="C101" s="179"/>
      <c r="D101" s="179"/>
      <c r="E101" s="179"/>
      <c r="F101" s="179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31"/>
      <c r="R101" s="179"/>
      <c r="S101" s="182"/>
      <c r="T101" s="182"/>
      <c r="U101" s="182"/>
      <c r="V101" s="182"/>
      <c r="W101" s="182"/>
      <c r="X101" s="182"/>
      <c r="Y101" s="181"/>
      <c r="Z101" s="18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</row>
    <row r="102" spans="1:106" x14ac:dyDescent="0.2">
      <c r="A102" s="31"/>
      <c r="B102" s="31"/>
      <c r="C102" s="179"/>
      <c r="D102" s="179"/>
      <c r="E102" s="179"/>
      <c r="F102" s="179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31"/>
      <c r="R102" s="179"/>
      <c r="S102" s="182"/>
      <c r="T102" s="182"/>
      <c r="U102" s="182"/>
      <c r="V102" s="182"/>
      <c r="W102" s="182"/>
      <c r="X102" s="182"/>
      <c r="Y102" s="181"/>
      <c r="Z102" s="18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</row>
    <row r="103" spans="1:106" x14ac:dyDescent="0.2">
      <c r="A103" s="31"/>
      <c r="B103" s="31"/>
      <c r="C103" s="179"/>
      <c r="D103" s="179"/>
      <c r="E103" s="179"/>
      <c r="F103" s="179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31"/>
      <c r="R103" s="179"/>
      <c r="S103" s="182"/>
      <c r="T103" s="182"/>
      <c r="U103" s="182"/>
      <c r="V103" s="182"/>
      <c r="W103" s="182"/>
      <c r="X103" s="182"/>
      <c r="Y103" s="181"/>
      <c r="Z103" s="18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</row>
    <row r="104" spans="1:106" x14ac:dyDescent="0.2">
      <c r="A104" s="31"/>
      <c r="B104" s="31"/>
      <c r="C104" s="179"/>
      <c r="D104" s="179"/>
      <c r="E104" s="179"/>
      <c r="F104" s="179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31"/>
      <c r="R104" s="179"/>
      <c r="S104" s="182"/>
      <c r="T104" s="182"/>
      <c r="U104" s="182"/>
      <c r="V104" s="182"/>
      <c r="W104" s="182"/>
      <c r="X104" s="182"/>
      <c r="Y104" s="181"/>
      <c r="Z104" s="18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</row>
    <row r="105" spans="1:106" x14ac:dyDescent="0.2">
      <c r="A105" s="31"/>
      <c r="B105" s="31"/>
      <c r="C105" s="179"/>
      <c r="D105" s="179"/>
      <c r="E105" s="179"/>
      <c r="F105" s="179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31"/>
      <c r="R105" s="179"/>
      <c r="S105" s="182"/>
      <c r="T105" s="182"/>
      <c r="U105" s="182"/>
      <c r="V105" s="182"/>
      <c r="W105" s="182"/>
      <c r="X105" s="182"/>
      <c r="Y105" s="181"/>
      <c r="Z105" s="18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</row>
    <row r="106" spans="1:106" x14ac:dyDescent="0.2">
      <c r="A106" s="31"/>
      <c r="B106" s="31"/>
      <c r="C106" s="179"/>
      <c r="D106" s="179"/>
      <c r="E106" s="179"/>
      <c r="F106" s="179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31"/>
      <c r="R106" s="179"/>
      <c r="S106" s="182"/>
      <c r="T106" s="182"/>
      <c r="U106" s="182"/>
      <c r="V106" s="182"/>
      <c r="W106" s="182"/>
      <c r="X106" s="182"/>
      <c r="Y106" s="181"/>
      <c r="Z106" s="18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</row>
    <row r="107" spans="1:106" x14ac:dyDescent="0.2">
      <c r="A107" s="31"/>
      <c r="B107" s="31"/>
      <c r="C107" s="179"/>
      <c r="D107" s="179"/>
      <c r="E107" s="179"/>
      <c r="F107" s="179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31"/>
      <c r="R107" s="179"/>
      <c r="S107" s="182"/>
      <c r="T107" s="182"/>
      <c r="U107" s="182"/>
      <c r="V107" s="182"/>
      <c r="W107" s="182"/>
      <c r="X107" s="182"/>
      <c r="Y107" s="181"/>
      <c r="Z107" s="18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</row>
    <row r="108" spans="1:106" x14ac:dyDescent="0.2">
      <c r="A108" s="31"/>
      <c r="B108" s="31"/>
      <c r="C108" s="179"/>
      <c r="D108" s="179"/>
      <c r="E108" s="179"/>
      <c r="F108" s="179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31"/>
      <c r="R108" s="179"/>
      <c r="S108" s="182"/>
      <c r="T108" s="182"/>
      <c r="U108" s="182"/>
      <c r="V108" s="182"/>
      <c r="W108" s="182"/>
      <c r="X108" s="182"/>
      <c r="Y108" s="181"/>
      <c r="Z108" s="18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</row>
    <row r="109" spans="1:106" x14ac:dyDescent="0.2">
      <c r="A109" s="31"/>
      <c r="B109" s="31"/>
      <c r="C109" s="179"/>
      <c r="D109" s="179"/>
      <c r="E109" s="179"/>
      <c r="F109" s="179"/>
      <c r="G109" s="181"/>
      <c r="H109" s="181"/>
      <c r="I109" s="181"/>
      <c r="J109" s="181"/>
      <c r="K109" s="181"/>
      <c r="L109" s="181"/>
      <c r="M109" s="181"/>
      <c r="N109" s="181"/>
      <c r="O109" s="181"/>
      <c r="P109" s="181"/>
      <c r="Q109" s="31"/>
      <c r="R109" s="179"/>
      <c r="S109" s="182"/>
      <c r="T109" s="182"/>
      <c r="U109" s="182"/>
      <c r="V109" s="182"/>
      <c r="W109" s="182"/>
      <c r="X109" s="182"/>
      <c r="Y109" s="181"/>
      <c r="Z109" s="18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</row>
    <row r="110" spans="1:106" x14ac:dyDescent="0.2">
      <c r="A110" s="31"/>
      <c r="B110" s="31"/>
      <c r="C110" s="179"/>
      <c r="D110" s="179"/>
      <c r="E110" s="179"/>
      <c r="F110" s="179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  <c r="Q110" s="31"/>
      <c r="R110" s="179"/>
      <c r="S110" s="182"/>
      <c r="T110" s="182"/>
      <c r="U110" s="182"/>
      <c r="V110" s="182"/>
      <c r="W110" s="182"/>
      <c r="X110" s="182"/>
      <c r="Y110" s="181"/>
      <c r="Z110" s="18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</row>
    <row r="111" spans="1:106" x14ac:dyDescent="0.2">
      <c r="A111" s="31"/>
      <c r="B111" s="31"/>
      <c r="C111" s="179"/>
      <c r="D111" s="179"/>
      <c r="E111" s="179"/>
      <c r="F111" s="179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31"/>
      <c r="R111" s="179"/>
      <c r="S111" s="182"/>
      <c r="T111" s="182"/>
      <c r="U111" s="182"/>
      <c r="V111" s="182"/>
      <c r="W111" s="182"/>
      <c r="X111" s="182"/>
      <c r="Y111" s="181"/>
      <c r="Z111" s="18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</row>
    <row r="112" spans="1:106" x14ac:dyDescent="0.2">
      <c r="A112" s="31"/>
      <c r="B112" s="31"/>
      <c r="C112" s="179"/>
      <c r="D112" s="179"/>
      <c r="E112" s="179"/>
      <c r="F112" s="179"/>
      <c r="G112" s="181"/>
      <c r="H112" s="181"/>
      <c r="I112" s="181"/>
      <c r="J112" s="181"/>
      <c r="K112" s="181"/>
      <c r="L112" s="181"/>
      <c r="M112" s="181"/>
      <c r="N112" s="181"/>
      <c r="O112" s="181"/>
      <c r="P112" s="181"/>
      <c r="Q112" s="31"/>
      <c r="R112" s="179"/>
      <c r="S112" s="182"/>
      <c r="T112" s="182"/>
      <c r="U112" s="182"/>
      <c r="V112" s="182"/>
      <c r="W112" s="182"/>
      <c r="X112" s="182"/>
      <c r="Y112" s="181"/>
      <c r="Z112" s="18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</row>
    <row r="113" spans="1:106" x14ac:dyDescent="0.2">
      <c r="A113" s="31"/>
      <c r="B113" s="31"/>
      <c r="C113" s="179"/>
      <c r="D113" s="179"/>
      <c r="E113" s="179"/>
      <c r="F113" s="179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31"/>
      <c r="R113" s="179"/>
      <c r="S113" s="182"/>
      <c r="T113" s="182"/>
      <c r="U113" s="182"/>
      <c r="V113" s="182"/>
      <c r="W113" s="182"/>
      <c r="X113" s="182"/>
      <c r="Y113" s="181"/>
      <c r="Z113" s="18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</row>
    <row r="114" spans="1:106" x14ac:dyDescent="0.2">
      <c r="A114" s="31"/>
      <c r="B114" s="31"/>
      <c r="C114" s="179"/>
      <c r="D114" s="179"/>
      <c r="E114" s="179"/>
      <c r="F114" s="179"/>
      <c r="G114" s="181"/>
      <c r="H114" s="181"/>
      <c r="I114" s="181"/>
      <c r="J114" s="181"/>
      <c r="K114" s="181"/>
      <c r="L114" s="181"/>
      <c r="M114" s="181"/>
      <c r="N114" s="181"/>
      <c r="O114" s="181"/>
      <c r="P114" s="181"/>
      <c r="Q114" s="31"/>
      <c r="R114" s="179"/>
      <c r="S114" s="182"/>
      <c r="T114" s="182"/>
      <c r="U114" s="182"/>
      <c r="V114" s="182"/>
      <c r="W114" s="182"/>
      <c r="X114" s="182"/>
      <c r="Y114" s="181"/>
      <c r="Z114" s="18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</row>
    <row r="115" spans="1:106" x14ac:dyDescent="0.2">
      <c r="A115" s="31"/>
      <c r="B115" s="31"/>
      <c r="C115" s="179"/>
      <c r="D115" s="179"/>
      <c r="E115" s="179"/>
      <c r="F115" s="179"/>
      <c r="G115" s="181"/>
      <c r="H115" s="181"/>
      <c r="I115" s="181"/>
      <c r="J115" s="181"/>
      <c r="K115" s="181"/>
      <c r="L115" s="181"/>
      <c r="M115" s="181"/>
      <c r="N115" s="181"/>
      <c r="O115" s="181"/>
      <c r="P115" s="181"/>
      <c r="Q115" s="31"/>
      <c r="R115" s="179"/>
      <c r="S115" s="182"/>
      <c r="T115" s="182"/>
      <c r="U115" s="182"/>
      <c r="V115" s="182"/>
      <c r="W115" s="182"/>
      <c r="X115" s="182"/>
      <c r="Y115" s="181"/>
      <c r="Z115" s="18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</row>
    <row r="116" spans="1:106" x14ac:dyDescent="0.2">
      <c r="A116" s="31"/>
      <c r="B116" s="31"/>
      <c r="C116" s="179"/>
      <c r="D116" s="179"/>
      <c r="E116" s="179"/>
      <c r="F116" s="179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31"/>
      <c r="R116" s="179"/>
      <c r="S116" s="182"/>
      <c r="T116" s="182"/>
      <c r="U116" s="182"/>
      <c r="V116" s="182"/>
      <c r="W116" s="182"/>
      <c r="X116" s="182"/>
      <c r="Y116" s="181"/>
      <c r="Z116" s="18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</row>
    <row r="117" spans="1:106" x14ac:dyDescent="0.2">
      <c r="A117" s="31"/>
      <c r="B117" s="31"/>
      <c r="C117" s="179"/>
      <c r="D117" s="179"/>
      <c r="E117" s="179"/>
      <c r="F117" s="179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31"/>
      <c r="R117" s="179"/>
      <c r="S117" s="182"/>
      <c r="T117" s="182"/>
      <c r="U117" s="182"/>
      <c r="V117" s="182"/>
      <c r="W117" s="182"/>
      <c r="X117" s="182"/>
      <c r="Y117" s="181"/>
      <c r="Z117" s="18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</row>
    <row r="118" spans="1:106" x14ac:dyDescent="0.2">
      <c r="A118" s="31"/>
      <c r="B118" s="31"/>
      <c r="C118" s="179"/>
      <c r="D118" s="179"/>
      <c r="E118" s="179"/>
      <c r="F118" s="179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31"/>
      <c r="R118" s="179"/>
      <c r="S118" s="182"/>
      <c r="T118" s="182"/>
      <c r="U118" s="182"/>
      <c r="V118" s="182"/>
      <c r="W118" s="182"/>
      <c r="X118" s="182"/>
      <c r="Y118" s="181"/>
      <c r="Z118" s="18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</row>
    <row r="119" spans="1:106" x14ac:dyDescent="0.2">
      <c r="A119" s="31"/>
      <c r="B119" s="31"/>
      <c r="C119" s="179"/>
      <c r="D119" s="179"/>
      <c r="E119" s="179"/>
      <c r="F119" s="179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31"/>
      <c r="R119" s="179"/>
      <c r="S119" s="182"/>
      <c r="T119" s="182"/>
      <c r="U119" s="182"/>
      <c r="V119" s="182"/>
      <c r="W119" s="182"/>
      <c r="X119" s="182"/>
      <c r="Y119" s="181"/>
      <c r="Z119" s="18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  <c r="CN119" s="31"/>
      <c r="CO119" s="31"/>
      <c r="CP119" s="31"/>
      <c r="CQ119" s="31"/>
      <c r="CR119" s="31"/>
      <c r="CS119" s="31"/>
      <c r="CT119" s="31"/>
      <c r="CU119" s="31"/>
      <c r="CV119" s="31"/>
      <c r="CW119" s="31"/>
      <c r="CX119" s="31"/>
      <c r="CY119" s="31"/>
      <c r="CZ119" s="31"/>
      <c r="DA119" s="31"/>
      <c r="DB119" s="31"/>
    </row>
    <row r="120" spans="1:106" x14ac:dyDescent="0.2">
      <c r="A120" s="31"/>
      <c r="B120" s="31"/>
      <c r="C120" s="179"/>
      <c r="D120" s="179"/>
      <c r="E120" s="179"/>
      <c r="F120" s="179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31"/>
      <c r="R120" s="179"/>
      <c r="S120" s="182"/>
      <c r="T120" s="182"/>
      <c r="U120" s="182"/>
      <c r="V120" s="182"/>
      <c r="W120" s="182"/>
      <c r="X120" s="182"/>
      <c r="Y120" s="181"/>
      <c r="Z120" s="18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</row>
    <row r="121" spans="1:106" x14ac:dyDescent="0.2">
      <c r="A121" s="31"/>
      <c r="B121" s="31"/>
      <c r="C121" s="179"/>
      <c r="D121" s="179"/>
      <c r="E121" s="179"/>
      <c r="F121" s="179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31"/>
      <c r="R121" s="179"/>
      <c r="S121" s="182"/>
      <c r="T121" s="182"/>
      <c r="U121" s="182"/>
      <c r="V121" s="182"/>
      <c r="W121" s="182"/>
      <c r="X121" s="182"/>
      <c r="Y121" s="181"/>
      <c r="Z121" s="18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</row>
    <row r="122" spans="1:106" x14ac:dyDescent="0.2">
      <c r="A122" s="31"/>
      <c r="B122" s="31"/>
      <c r="C122" s="179"/>
      <c r="D122" s="179"/>
      <c r="E122" s="179"/>
      <c r="F122" s="179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31"/>
      <c r="R122" s="179"/>
      <c r="S122" s="182"/>
      <c r="T122" s="182"/>
      <c r="U122" s="182"/>
      <c r="V122" s="182"/>
      <c r="W122" s="182"/>
      <c r="X122" s="182"/>
      <c r="Y122" s="181"/>
      <c r="Z122" s="18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</row>
    <row r="123" spans="1:106" x14ac:dyDescent="0.2">
      <c r="A123" s="31"/>
      <c r="B123" s="31"/>
      <c r="C123" s="179"/>
      <c r="D123" s="179"/>
      <c r="E123" s="179"/>
      <c r="F123" s="179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31"/>
      <c r="R123" s="179"/>
      <c r="S123" s="182"/>
      <c r="T123" s="182"/>
      <c r="U123" s="182"/>
      <c r="V123" s="182"/>
      <c r="W123" s="182"/>
      <c r="X123" s="182"/>
      <c r="Y123" s="181"/>
      <c r="Z123" s="18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</row>
    <row r="124" spans="1:106" x14ac:dyDescent="0.2">
      <c r="A124" s="31"/>
      <c r="B124" s="31"/>
      <c r="C124" s="179"/>
      <c r="D124" s="179"/>
      <c r="E124" s="179"/>
      <c r="F124" s="179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31"/>
      <c r="R124" s="179"/>
      <c r="S124" s="182"/>
      <c r="T124" s="182"/>
      <c r="U124" s="182"/>
      <c r="V124" s="182"/>
      <c r="W124" s="182"/>
      <c r="X124" s="182"/>
      <c r="Y124" s="181"/>
      <c r="Z124" s="18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</row>
    <row r="125" spans="1:106" x14ac:dyDescent="0.2">
      <c r="A125" s="31"/>
      <c r="B125" s="31"/>
      <c r="C125" s="179"/>
      <c r="D125" s="179"/>
      <c r="E125" s="179"/>
      <c r="F125" s="179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31"/>
      <c r="R125" s="179"/>
      <c r="S125" s="182"/>
      <c r="T125" s="182"/>
      <c r="U125" s="182"/>
      <c r="V125" s="182"/>
      <c r="W125" s="182"/>
      <c r="X125" s="182"/>
      <c r="Y125" s="181"/>
      <c r="Z125" s="18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</row>
    <row r="126" spans="1:106" x14ac:dyDescent="0.2">
      <c r="A126" s="31"/>
      <c r="B126" s="31"/>
      <c r="C126" s="179"/>
      <c r="D126" s="179"/>
      <c r="E126" s="179"/>
      <c r="F126" s="179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31"/>
      <c r="R126" s="179"/>
      <c r="S126" s="182"/>
      <c r="T126" s="182"/>
      <c r="U126" s="182"/>
      <c r="V126" s="182"/>
      <c r="W126" s="182"/>
      <c r="X126" s="182"/>
      <c r="Y126" s="181"/>
      <c r="Z126" s="18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</row>
    <row r="127" spans="1:106" x14ac:dyDescent="0.2">
      <c r="A127" s="31"/>
      <c r="B127" s="31"/>
      <c r="C127" s="179"/>
      <c r="D127" s="179"/>
      <c r="E127" s="179"/>
      <c r="F127" s="179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31"/>
      <c r="R127" s="179"/>
      <c r="S127" s="182"/>
      <c r="T127" s="182"/>
      <c r="U127" s="182"/>
      <c r="V127" s="182"/>
      <c r="W127" s="182"/>
      <c r="X127" s="182"/>
      <c r="Y127" s="181"/>
      <c r="Z127" s="18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</row>
    <row r="128" spans="1:106" x14ac:dyDescent="0.2">
      <c r="A128" s="31"/>
      <c r="B128" s="31"/>
      <c r="C128" s="179"/>
      <c r="D128" s="179"/>
      <c r="E128" s="179"/>
      <c r="F128" s="179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31"/>
      <c r="R128" s="179"/>
      <c r="S128" s="182"/>
      <c r="T128" s="182"/>
      <c r="U128" s="182"/>
      <c r="V128" s="182"/>
      <c r="W128" s="182"/>
      <c r="X128" s="182"/>
      <c r="Y128" s="181"/>
      <c r="Z128" s="18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</row>
    <row r="129" spans="1:106" x14ac:dyDescent="0.2">
      <c r="A129" s="31"/>
      <c r="B129" s="31"/>
      <c r="C129" s="179"/>
      <c r="D129" s="179"/>
      <c r="E129" s="179"/>
      <c r="F129" s="179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31"/>
      <c r="R129" s="179"/>
      <c r="S129" s="182"/>
      <c r="T129" s="182"/>
      <c r="U129" s="182"/>
      <c r="V129" s="182"/>
      <c r="W129" s="182"/>
      <c r="X129" s="182"/>
      <c r="Y129" s="181"/>
      <c r="Z129" s="18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</row>
    <row r="130" spans="1:106" x14ac:dyDescent="0.2">
      <c r="A130" s="31"/>
      <c r="B130" s="31"/>
      <c r="C130" s="179"/>
      <c r="D130" s="179"/>
      <c r="E130" s="179"/>
      <c r="F130" s="179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31"/>
      <c r="R130" s="179"/>
      <c r="S130" s="182"/>
      <c r="T130" s="182"/>
      <c r="U130" s="182"/>
      <c r="V130" s="182"/>
      <c r="W130" s="182"/>
      <c r="X130" s="182"/>
      <c r="Y130" s="181"/>
      <c r="Z130" s="18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</row>
    <row r="131" spans="1:106" x14ac:dyDescent="0.2">
      <c r="A131" s="31"/>
      <c r="B131" s="31"/>
      <c r="C131" s="179"/>
      <c r="D131" s="179"/>
      <c r="E131" s="179"/>
      <c r="F131" s="179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31"/>
      <c r="R131" s="179"/>
      <c r="S131" s="182"/>
      <c r="T131" s="182"/>
      <c r="U131" s="182"/>
      <c r="V131" s="182"/>
      <c r="W131" s="182"/>
      <c r="X131" s="182"/>
      <c r="Y131" s="181"/>
      <c r="Z131" s="18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</row>
    <row r="132" spans="1:106" x14ac:dyDescent="0.2">
      <c r="A132" s="31"/>
      <c r="B132" s="31"/>
      <c r="C132" s="179"/>
      <c r="D132" s="179"/>
      <c r="E132" s="179"/>
      <c r="F132" s="179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31"/>
      <c r="R132" s="179"/>
      <c r="S132" s="182"/>
      <c r="T132" s="182"/>
      <c r="U132" s="182"/>
      <c r="V132" s="182"/>
      <c r="W132" s="182"/>
      <c r="X132" s="182"/>
      <c r="Y132" s="181"/>
      <c r="Z132" s="18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</row>
    <row r="133" spans="1:106" x14ac:dyDescent="0.2">
      <c r="A133" s="31"/>
      <c r="B133" s="31"/>
      <c r="C133" s="179"/>
      <c r="D133" s="179"/>
      <c r="E133" s="179"/>
      <c r="F133" s="179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31"/>
      <c r="R133" s="179"/>
      <c r="S133" s="182"/>
      <c r="T133" s="182"/>
      <c r="U133" s="182"/>
      <c r="V133" s="182"/>
      <c r="W133" s="182"/>
      <c r="X133" s="182"/>
      <c r="Y133" s="181"/>
      <c r="Z133" s="18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</row>
    <row r="134" spans="1:106" x14ac:dyDescent="0.2">
      <c r="A134" s="31"/>
      <c r="B134" s="31"/>
      <c r="C134" s="179"/>
      <c r="D134" s="179"/>
      <c r="E134" s="179"/>
      <c r="F134" s="179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  <c r="Q134" s="31"/>
      <c r="R134" s="179"/>
      <c r="S134" s="182"/>
      <c r="T134" s="182"/>
      <c r="U134" s="182"/>
      <c r="V134" s="182"/>
      <c r="W134" s="182"/>
      <c r="X134" s="182"/>
      <c r="Y134" s="181"/>
      <c r="Z134" s="18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</row>
    <row r="135" spans="1:106" x14ac:dyDescent="0.2">
      <c r="A135" s="31"/>
      <c r="B135" s="31"/>
      <c r="C135" s="179"/>
      <c r="D135" s="179"/>
      <c r="E135" s="179"/>
      <c r="F135" s="179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31"/>
      <c r="R135" s="179"/>
      <c r="S135" s="182"/>
      <c r="T135" s="182"/>
      <c r="U135" s="182"/>
      <c r="V135" s="182"/>
      <c r="W135" s="182"/>
      <c r="X135" s="182"/>
      <c r="Y135" s="181"/>
      <c r="Z135" s="18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</row>
    <row r="136" spans="1:106" x14ac:dyDescent="0.2">
      <c r="A136" s="31"/>
      <c r="B136" s="31"/>
      <c r="C136" s="179"/>
      <c r="D136" s="179"/>
      <c r="E136" s="179"/>
      <c r="F136" s="179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31"/>
      <c r="R136" s="179"/>
      <c r="S136" s="182"/>
      <c r="T136" s="182"/>
      <c r="U136" s="182"/>
      <c r="V136" s="182"/>
      <c r="W136" s="182"/>
      <c r="X136" s="182"/>
      <c r="Y136" s="181"/>
      <c r="Z136" s="18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</row>
    <row r="137" spans="1:106" x14ac:dyDescent="0.2">
      <c r="A137" s="31"/>
      <c r="B137" s="31"/>
      <c r="C137" s="179"/>
      <c r="D137" s="179"/>
      <c r="E137" s="179"/>
      <c r="F137" s="179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31"/>
      <c r="R137" s="179"/>
      <c r="S137" s="182"/>
      <c r="T137" s="182"/>
      <c r="U137" s="182"/>
      <c r="V137" s="182"/>
      <c r="W137" s="182"/>
      <c r="X137" s="182"/>
      <c r="Y137" s="181"/>
      <c r="Z137" s="18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</row>
    <row r="138" spans="1:106" x14ac:dyDescent="0.2">
      <c r="A138" s="31"/>
      <c r="B138" s="31"/>
      <c r="C138" s="179"/>
      <c r="D138" s="179"/>
      <c r="E138" s="179"/>
      <c r="F138" s="179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31"/>
      <c r="R138" s="179"/>
      <c r="S138" s="182"/>
      <c r="T138" s="182"/>
      <c r="U138" s="182"/>
      <c r="V138" s="182"/>
      <c r="W138" s="182"/>
      <c r="X138" s="182"/>
      <c r="Y138" s="181"/>
      <c r="Z138" s="18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</row>
    <row r="139" spans="1:106" x14ac:dyDescent="0.2">
      <c r="A139" s="31"/>
      <c r="B139" s="31"/>
      <c r="C139" s="179"/>
      <c r="D139" s="179"/>
      <c r="E139" s="179"/>
      <c r="F139" s="179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31"/>
      <c r="R139" s="179"/>
      <c r="S139" s="182"/>
      <c r="T139" s="182"/>
      <c r="U139" s="182"/>
      <c r="V139" s="182"/>
      <c r="W139" s="182"/>
      <c r="X139" s="182"/>
      <c r="Y139" s="181"/>
      <c r="Z139" s="18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</row>
    <row r="140" spans="1:106" x14ac:dyDescent="0.2">
      <c r="A140" s="31"/>
      <c r="B140" s="31"/>
      <c r="C140" s="179"/>
      <c r="D140" s="179"/>
      <c r="E140" s="179"/>
      <c r="F140" s="179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31"/>
      <c r="R140" s="179"/>
      <c r="S140" s="182"/>
      <c r="T140" s="182"/>
      <c r="U140" s="182"/>
      <c r="V140" s="182"/>
      <c r="W140" s="182"/>
      <c r="X140" s="182"/>
      <c r="Y140" s="181"/>
      <c r="Z140" s="18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</row>
    <row r="141" spans="1:106" x14ac:dyDescent="0.2">
      <c r="A141" s="31"/>
      <c r="B141" s="31"/>
      <c r="C141" s="179"/>
      <c r="D141" s="179"/>
      <c r="E141" s="179"/>
      <c r="F141" s="179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31"/>
      <c r="R141" s="179"/>
      <c r="S141" s="182"/>
      <c r="T141" s="182"/>
      <c r="U141" s="182"/>
      <c r="V141" s="182"/>
      <c r="W141" s="182"/>
      <c r="X141" s="182"/>
      <c r="Y141" s="181"/>
      <c r="Z141" s="18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</row>
    <row r="142" spans="1:106" x14ac:dyDescent="0.2">
      <c r="A142" s="31"/>
      <c r="B142" s="31"/>
      <c r="C142" s="179"/>
      <c r="D142" s="179"/>
      <c r="E142" s="179"/>
      <c r="F142" s="179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31"/>
      <c r="R142" s="179"/>
      <c r="S142" s="182"/>
      <c r="T142" s="182"/>
      <c r="U142" s="182"/>
      <c r="V142" s="182"/>
      <c r="W142" s="182"/>
      <c r="X142" s="182"/>
      <c r="Y142" s="181"/>
      <c r="Z142" s="18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</row>
    <row r="143" spans="1:106" x14ac:dyDescent="0.2">
      <c r="A143" s="31"/>
      <c r="B143" s="31"/>
      <c r="C143" s="179"/>
      <c r="D143" s="179"/>
      <c r="E143" s="179"/>
      <c r="F143" s="179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31"/>
      <c r="R143" s="179"/>
      <c r="S143" s="182"/>
      <c r="T143" s="182"/>
      <c r="U143" s="182"/>
      <c r="V143" s="182"/>
      <c r="W143" s="182"/>
      <c r="X143" s="182"/>
      <c r="Y143" s="181"/>
      <c r="Z143" s="18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</row>
    <row r="144" spans="1:106" x14ac:dyDescent="0.2">
      <c r="A144" s="31"/>
      <c r="B144" s="31"/>
      <c r="C144" s="179"/>
      <c r="D144" s="179"/>
      <c r="E144" s="179"/>
      <c r="F144" s="179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31"/>
      <c r="R144" s="179"/>
      <c r="S144" s="182"/>
      <c r="T144" s="182"/>
      <c r="U144" s="182"/>
      <c r="V144" s="182"/>
      <c r="W144" s="182"/>
      <c r="X144" s="182"/>
      <c r="Y144" s="181"/>
      <c r="Z144" s="18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</row>
    <row r="145" spans="1:106" x14ac:dyDescent="0.2">
      <c r="A145" s="31"/>
      <c r="B145" s="31"/>
      <c r="C145" s="179"/>
      <c r="D145" s="179"/>
      <c r="E145" s="179"/>
      <c r="F145" s="179"/>
      <c r="G145" s="181"/>
      <c r="H145" s="181"/>
      <c r="I145" s="181"/>
      <c r="J145" s="181"/>
      <c r="K145" s="181"/>
      <c r="L145" s="181"/>
      <c r="M145" s="181"/>
      <c r="N145" s="181"/>
      <c r="O145" s="181"/>
      <c r="P145" s="181"/>
      <c r="Q145" s="31"/>
      <c r="R145" s="179"/>
      <c r="S145" s="182"/>
      <c r="T145" s="182"/>
      <c r="U145" s="182"/>
      <c r="V145" s="182"/>
      <c r="W145" s="182"/>
      <c r="X145" s="182"/>
      <c r="Y145" s="181"/>
      <c r="Z145" s="18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  <c r="CJ145" s="31"/>
      <c r="CK145" s="31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</row>
    <row r="146" spans="1:106" x14ac:dyDescent="0.2">
      <c r="A146" s="31"/>
      <c r="B146" s="31"/>
      <c r="C146" s="179"/>
      <c r="D146" s="179"/>
      <c r="E146" s="179"/>
      <c r="F146" s="179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31"/>
      <c r="R146" s="179"/>
      <c r="S146" s="182"/>
      <c r="T146" s="182"/>
      <c r="U146" s="182"/>
      <c r="V146" s="182"/>
      <c r="W146" s="182"/>
      <c r="X146" s="182"/>
      <c r="Y146" s="181"/>
      <c r="Z146" s="18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  <c r="CJ146" s="31"/>
      <c r="CK146" s="31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</row>
    <row r="147" spans="1:106" x14ac:dyDescent="0.2">
      <c r="A147" s="31"/>
      <c r="B147" s="31"/>
      <c r="C147" s="179"/>
      <c r="D147" s="179"/>
      <c r="E147" s="179"/>
      <c r="F147" s="179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31"/>
      <c r="R147" s="179"/>
      <c r="S147" s="182"/>
      <c r="T147" s="182"/>
      <c r="U147" s="182"/>
      <c r="V147" s="182"/>
      <c r="W147" s="182"/>
      <c r="X147" s="182"/>
      <c r="Y147" s="181"/>
      <c r="Z147" s="18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  <c r="CJ147" s="31"/>
      <c r="CK147" s="31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</row>
    <row r="148" spans="1:106" x14ac:dyDescent="0.2">
      <c r="A148" s="31"/>
      <c r="B148" s="31"/>
      <c r="C148" s="179"/>
      <c r="D148" s="179"/>
      <c r="E148" s="179"/>
      <c r="F148" s="179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31"/>
      <c r="R148" s="179"/>
      <c r="S148" s="182"/>
      <c r="T148" s="182"/>
      <c r="U148" s="182"/>
      <c r="V148" s="182"/>
      <c r="W148" s="182"/>
      <c r="X148" s="182"/>
      <c r="Y148" s="181"/>
      <c r="Z148" s="18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</row>
    <row r="149" spans="1:106" x14ac:dyDescent="0.2">
      <c r="A149" s="31"/>
      <c r="B149" s="31"/>
      <c r="C149" s="179"/>
      <c r="D149" s="179"/>
      <c r="E149" s="179"/>
      <c r="F149" s="179"/>
      <c r="G149" s="181"/>
      <c r="H149" s="181"/>
      <c r="I149" s="181"/>
      <c r="J149" s="181"/>
      <c r="K149" s="181"/>
      <c r="L149" s="181"/>
      <c r="M149" s="181"/>
      <c r="N149" s="181"/>
      <c r="O149" s="181"/>
      <c r="P149" s="181"/>
      <c r="Q149" s="31"/>
      <c r="R149" s="179"/>
      <c r="S149" s="182"/>
      <c r="T149" s="182"/>
      <c r="U149" s="182"/>
      <c r="V149" s="182"/>
      <c r="W149" s="182"/>
      <c r="X149" s="182"/>
      <c r="Y149" s="181"/>
      <c r="Z149" s="18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  <c r="CJ149" s="31"/>
      <c r="CK149" s="31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</row>
    <row r="150" spans="1:106" x14ac:dyDescent="0.2">
      <c r="A150" s="31"/>
      <c r="B150" s="31"/>
      <c r="C150" s="179"/>
      <c r="D150" s="179"/>
      <c r="E150" s="179"/>
      <c r="F150" s="179"/>
      <c r="G150" s="181"/>
      <c r="H150" s="181"/>
      <c r="I150" s="181"/>
      <c r="J150" s="181"/>
      <c r="K150" s="181"/>
      <c r="L150" s="181"/>
      <c r="M150" s="181"/>
      <c r="N150" s="181"/>
      <c r="O150" s="181"/>
      <c r="P150" s="181"/>
      <c r="Q150" s="31"/>
      <c r="R150" s="179"/>
      <c r="S150" s="182"/>
      <c r="T150" s="182"/>
      <c r="U150" s="182"/>
      <c r="V150" s="182"/>
      <c r="W150" s="182"/>
      <c r="X150" s="182"/>
      <c r="Y150" s="181"/>
      <c r="Z150" s="18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  <c r="CJ150" s="31"/>
      <c r="CK150" s="31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</row>
    <row r="151" spans="1:106" x14ac:dyDescent="0.2">
      <c r="A151" s="31"/>
      <c r="B151" s="31"/>
      <c r="C151" s="179"/>
      <c r="D151" s="179"/>
      <c r="E151" s="179"/>
      <c r="F151" s="179"/>
      <c r="G151" s="181"/>
      <c r="H151" s="181"/>
      <c r="I151" s="181"/>
      <c r="J151" s="181"/>
      <c r="K151" s="181"/>
      <c r="L151" s="181"/>
      <c r="M151" s="181"/>
      <c r="N151" s="181"/>
      <c r="O151" s="181"/>
      <c r="P151" s="181"/>
      <c r="Q151" s="31"/>
      <c r="R151" s="179"/>
      <c r="S151" s="182"/>
      <c r="T151" s="182"/>
      <c r="U151" s="182"/>
      <c r="V151" s="182"/>
      <c r="W151" s="182"/>
      <c r="X151" s="182"/>
      <c r="Y151" s="181"/>
      <c r="Z151" s="18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  <c r="CJ151" s="31"/>
      <c r="CK151" s="31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</row>
    <row r="152" spans="1:106" x14ac:dyDescent="0.2">
      <c r="A152" s="31"/>
      <c r="B152" s="31"/>
      <c r="C152" s="179"/>
      <c r="D152" s="179"/>
      <c r="E152" s="179"/>
      <c r="F152" s="179"/>
      <c r="G152" s="181"/>
      <c r="H152" s="181"/>
      <c r="I152" s="181"/>
      <c r="J152" s="181"/>
      <c r="K152" s="181"/>
      <c r="L152" s="181"/>
      <c r="M152" s="181"/>
      <c r="N152" s="181"/>
      <c r="O152" s="181"/>
      <c r="P152" s="181"/>
      <c r="Q152" s="31"/>
      <c r="R152" s="179"/>
      <c r="S152" s="182"/>
      <c r="T152" s="182"/>
      <c r="U152" s="182"/>
      <c r="V152" s="182"/>
      <c r="W152" s="182"/>
      <c r="X152" s="182"/>
      <c r="Y152" s="181"/>
      <c r="Z152" s="18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  <c r="CJ152" s="31"/>
      <c r="CK152" s="31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</row>
    <row r="153" spans="1:106" x14ac:dyDescent="0.2">
      <c r="A153" s="31"/>
      <c r="B153" s="31"/>
      <c r="C153" s="179"/>
      <c r="D153" s="179"/>
      <c r="E153" s="179"/>
      <c r="F153" s="179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31"/>
      <c r="R153" s="179"/>
      <c r="S153" s="182"/>
      <c r="T153" s="182"/>
      <c r="U153" s="182"/>
      <c r="V153" s="182"/>
      <c r="W153" s="182"/>
      <c r="X153" s="182"/>
      <c r="Y153" s="181"/>
      <c r="Z153" s="18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  <c r="CJ153" s="31"/>
      <c r="CK153" s="31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</row>
    <row r="154" spans="1:106" x14ac:dyDescent="0.2">
      <c r="A154" s="31"/>
      <c r="B154" s="31"/>
      <c r="C154" s="179"/>
      <c r="D154" s="179"/>
      <c r="E154" s="179"/>
      <c r="F154" s="179"/>
      <c r="G154" s="181"/>
      <c r="H154" s="181"/>
      <c r="I154" s="181"/>
      <c r="J154" s="181"/>
      <c r="K154" s="181"/>
      <c r="L154" s="181"/>
      <c r="M154" s="181"/>
      <c r="N154" s="181"/>
      <c r="O154" s="181"/>
      <c r="P154" s="181"/>
      <c r="Q154" s="31"/>
      <c r="R154" s="179"/>
      <c r="S154" s="182"/>
      <c r="T154" s="182"/>
      <c r="U154" s="182"/>
      <c r="V154" s="182"/>
      <c r="W154" s="182"/>
      <c r="X154" s="182"/>
      <c r="Y154" s="181"/>
      <c r="Z154" s="18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  <c r="CJ154" s="31"/>
      <c r="CK154" s="31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</row>
    <row r="155" spans="1:106" x14ac:dyDescent="0.2">
      <c r="A155" s="31"/>
      <c r="B155" s="31"/>
      <c r="C155" s="179"/>
      <c r="D155" s="179"/>
      <c r="E155" s="179"/>
      <c r="F155" s="179"/>
      <c r="G155" s="181"/>
      <c r="H155" s="181"/>
      <c r="I155" s="181"/>
      <c r="J155" s="181"/>
      <c r="K155" s="181"/>
      <c r="L155" s="181"/>
      <c r="M155" s="181"/>
      <c r="N155" s="181"/>
      <c r="O155" s="181"/>
      <c r="P155" s="181"/>
      <c r="Q155" s="31"/>
      <c r="R155" s="179"/>
      <c r="S155" s="182"/>
      <c r="T155" s="182"/>
      <c r="U155" s="182"/>
      <c r="V155" s="182"/>
      <c r="W155" s="182"/>
      <c r="X155" s="182"/>
      <c r="Y155" s="181"/>
      <c r="Z155" s="18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  <c r="CJ155" s="31"/>
      <c r="CK155" s="31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</row>
    <row r="156" spans="1:106" x14ac:dyDescent="0.2">
      <c r="A156" s="31"/>
      <c r="B156" s="31"/>
      <c r="C156" s="179"/>
      <c r="D156" s="179"/>
      <c r="E156" s="179"/>
      <c r="F156" s="179"/>
      <c r="G156" s="181"/>
      <c r="H156" s="181"/>
      <c r="I156" s="181"/>
      <c r="J156" s="181"/>
      <c r="K156" s="181"/>
      <c r="L156" s="181"/>
      <c r="M156" s="181"/>
      <c r="N156" s="181"/>
      <c r="O156" s="181"/>
      <c r="P156" s="181"/>
      <c r="Q156" s="31"/>
      <c r="R156" s="179"/>
      <c r="S156" s="182"/>
      <c r="T156" s="182"/>
      <c r="U156" s="182"/>
      <c r="V156" s="182"/>
      <c r="W156" s="182"/>
      <c r="X156" s="182"/>
      <c r="Y156" s="181"/>
      <c r="Z156" s="18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  <c r="CJ156" s="31"/>
      <c r="CK156" s="31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</row>
    <row r="157" spans="1:106" x14ac:dyDescent="0.2">
      <c r="A157" s="31"/>
      <c r="B157" s="31"/>
      <c r="C157" s="179"/>
      <c r="D157" s="179"/>
      <c r="E157" s="179"/>
      <c r="F157" s="179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31"/>
      <c r="R157" s="179"/>
      <c r="S157" s="182"/>
      <c r="T157" s="182"/>
      <c r="U157" s="182"/>
      <c r="V157" s="182"/>
      <c r="W157" s="182"/>
      <c r="X157" s="182"/>
      <c r="Y157" s="181"/>
      <c r="Z157" s="18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  <c r="CJ157" s="31"/>
      <c r="CK157" s="31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</row>
    <row r="158" spans="1:106" x14ac:dyDescent="0.2">
      <c r="A158" s="31"/>
      <c r="B158" s="31"/>
      <c r="C158" s="179"/>
      <c r="D158" s="179"/>
      <c r="E158" s="179"/>
      <c r="F158" s="179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31"/>
      <c r="R158" s="179"/>
      <c r="S158" s="182"/>
      <c r="T158" s="182"/>
      <c r="U158" s="182"/>
      <c r="V158" s="182"/>
      <c r="W158" s="182"/>
      <c r="X158" s="182"/>
      <c r="Y158" s="181"/>
      <c r="Z158" s="18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  <c r="CJ158" s="31"/>
      <c r="CK158" s="31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</row>
    <row r="159" spans="1:106" x14ac:dyDescent="0.2">
      <c r="A159" s="31"/>
      <c r="B159" s="31"/>
      <c r="C159" s="179"/>
      <c r="D159" s="179"/>
      <c r="E159" s="179"/>
      <c r="F159" s="179"/>
      <c r="G159" s="181"/>
      <c r="H159" s="181"/>
      <c r="I159" s="181"/>
      <c r="J159" s="181"/>
      <c r="K159" s="181"/>
      <c r="L159" s="181"/>
      <c r="M159" s="181"/>
      <c r="N159" s="181"/>
      <c r="O159" s="181"/>
      <c r="P159" s="181"/>
      <c r="Q159" s="31"/>
      <c r="R159" s="179"/>
      <c r="S159" s="182"/>
      <c r="T159" s="182"/>
      <c r="U159" s="182"/>
      <c r="V159" s="182"/>
      <c r="W159" s="182"/>
      <c r="X159" s="182"/>
      <c r="Y159" s="181"/>
      <c r="Z159" s="18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  <c r="CJ159" s="31"/>
      <c r="CK159" s="31"/>
      <c r="CL159" s="31"/>
      <c r="CM159" s="31"/>
      <c r="CN159" s="31"/>
      <c r="CO159" s="31"/>
      <c r="CP159" s="31"/>
      <c r="CQ159" s="31"/>
      <c r="CR159" s="31"/>
      <c r="CS159" s="31"/>
      <c r="CT159" s="31"/>
      <c r="CU159" s="31"/>
      <c r="CV159" s="31"/>
      <c r="CW159" s="31"/>
      <c r="CX159" s="31"/>
      <c r="CY159" s="31"/>
      <c r="CZ159" s="31"/>
      <c r="DA159" s="31"/>
      <c r="DB159" s="31"/>
    </row>
  </sheetData>
  <mergeCells count="31">
    <mergeCell ref="D64:G64"/>
    <mergeCell ref="D62:G62"/>
    <mergeCell ref="C52:D53"/>
    <mergeCell ref="D55:J56"/>
    <mergeCell ref="I50:P50"/>
    <mergeCell ref="E52:F53"/>
    <mergeCell ref="C49:D50"/>
    <mergeCell ref="I49:P49"/>
    <mergeCell ref="E39:P39"/>
    <mergeCell ref="C44:D45"/>
    <mergeCell ref="C47:D48"/>
    <mergeCell ref="E49:F50"/>
    <mergeCell ref="C17:D17"/>
    <mergeCell ref="K21:P21"/>
    <mergeCell ref="K22:O22"/>
    <mergeCell ref="M25:N25"/>
    <mergeCell ref="O37:P37"/>
    <mergeCell ref="C36:D36"/>
    <mergeCell ref="C41:E41"/>
    <mergeCell ref="E42:F43"/>
    <mergeCell ref="E44:F45"/>
    <mergeCell ref="E47:F48"/>
    <mergeCell ref="C42:D43"/>
    <mergeCell ref="J2:P2"/>
    <mergeCell ref="K4:P5"/>
    <mergeCell ref="M7:N7"/>
    <mergeCell ref="A7:L7"/>
    <mergeCell ref="C4:D4"/>
    <mergeCell ref="G4:H4"/>
    <mergeCell ref="A6:L6"/>
    <mergeCell ref="C2:G2"/>
  </mergeCells>
  <phoneticPr fontId="0" type="noConversion"/>
  <pageMargins left="0.5" right="0.25" top="0.75" bottom="0.25" header="0.5" footer="0.5"/>
  <pageSetup scale="87" orientation="portrait" horizontalDpi="4294967294" vertic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8E83B-3E39-4048-AFB8-CC778A3AA279}">
  <sheetPr codeName="Sheet28">
    <pageSetUpPr fitToPage="1"/>
  </sheetPr>
  <dimension ref="A1:DB159"/>
  <sheetViews>
    <sheetView tabSelected="1" workbookViewId="0">
      <selection activeCell="AC14" sqref="AC14"/>
    </sheetView>
  </sheetViews>
  <sheetFormatPr defaultColWidth="9.140625" defaultRowHeight="12.75" x14ac:dyDescent="0.2"/>
  <cols>
    <col min="1" max="1" width="5.85546875" style="23" customWidth="1"/>
    <col min="2" max="2" width="5.140625" style="23" customWidth="1"/>
    <col min="3" max="5" width="8.28515625" style="183" customWidth="1"/>
    <col min="6" max="6" width="8.140625" style="183" customWidth="1"/>
    <col min="7" max="9" width="8.28515625" style="102" customWidth="1"/>
    <col min="10" max="10" width="6" style="102" customWidth="1"/>
    <col min="11" max="12" width="5.85546875" style="102" customWidth="1"/>
    <col min="13" max="13" width="6" style="102" customWidth="1"/>
    <col min="14" max="14" width="6.140625" style="102" customWidth="1"/>
    <col min="15" max="15" width="5.140625" style="102" customWidth="1"/>
    <col min="16" max="16" width="5.5703125" style="102" customWidth="1"/>
    <col min="17" max="17" width="8.42578125" style="23" customWidth="1"/>
    <col min="18" max="18" width="6.140625" style="183" hidden="1" customWidth="1"/>
    <col min="19" max="19" width="10.28515625" style="184" hidden="1" customWidth="1"/>
    <col min="20" max="22" width="8.42578125" style="184" hidden="1" customWidth="1"/>
    <col min="23" max="23" width="9.7109375" style="184" hidden="1" customWidth="1"/>
    <col min="24" max="24" width="8.42578125" style="184" hidden="1" customWidth="1"/>
    <col min="25" max="25" width="7.5703125" style="102" customWidth="1"/>
    <col min="26" max="26" width="8.140625" style="102" customWidth="1"/>
    <col min="27" max="16384" width="9.140625" style="23"/>
  </cols>
  <sheetData>
    <row r="1" spans="1:106" ht="6" customHeight="1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8"/>
      <c r="S1" s="29"/>
      <c r="T1" s="29"/>
      <c r="U1" s="29"/>
      <c r="V1" s="29"/>
      <c r="W1" s="29"/>
      <c r="X1" s="29"/>
      <c r="Y1" s="30"/>
      <c r="Z1" s="30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</row>
    <row r="2" spans="1:106" ht="15.75" customHeight="1" x14ac:dyDescent="0.2">
      <c r="A2" s="32" t="s">
        <v>0</v>
      </c>
      <c r="B2" s="32"/>
      <c r="C2" s="289" t="s">
        <v>136</v>
      </c>
      <c r="D2" s="289"/>
      <c r="E2" s="289"/>
      <c r="F2" s="289"/>
      <c r="G2" s="289"/>
      <c r="H2" s="32"/>
      <c r="I2" s="32" t="s">
        <v>119</v>
      </c>
      <c r="J2" s="290">
        <v>20091983</v>
      </c>
      <c r="K2" s="290"/>
      <c r="L2" s="290"/>
      <c r="M2" s="290"/>
      <c r="N2" s="290"/>
      <c r="O2" s="290"/>
      <c r="P2" s="290"/>
      <c r="Q2" s="27"/>
      <c r="R2" s="28"/>
      <c r="S2" s="29" t="s">
        <v>29</v>
      </c>
      <c r="T2" s="29"/>
      <c r="U2" s="29"/>
      <c r="V2" s="27"/>
      <c r="W2" s="33"/>
      <c r="X2" s="27"/>
      <c r="Y2" s="30"/>
      <c r="Z2" s="30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</row>
    <row r="3" spans="1:106" ht="7.5" customHeight="1" x14ac:dyDescent="0.2">
      <c r="A3" s="32"/>
      <c r="B3" s="32"/>
      <c r="C3" s="34"/>
      <c r="D3" s="34"/>
      <c r="E3" s="34"/>
      <c r="F3" s="34"/>
      <c r="G3" s="34"/>
      <c r="H3" s="32"/>
      <c r="I3" s="32"/>
      <c r="J3" s="35"/>
      <c r="K3" s="35"/>
      <c r="L3" s="35"/>
      <c r="M3" s="35"/>
      <c r="N3" s="35"/>
      <c r="O3" s="35"/>
      <c r="P3" s="35"/>
      <c r="Q3" s="27"/>
      <c r="R3" s="28"/>
      <c r="S3" s="29"/>
      <c r="T3" s="29"/>
      <c r="U3" s="29"/>
      <c r="V3" s="27"/>
      <c r="W3" s="33"/>
      <c r="X3" s="27"/>
      <c r="Y3" s="30"/>
      <c r="Z3" s="30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</row>
    <row r="4" spans="1:106" ht="14.1" customHeight="1" x14ac:dyDescent="0.2">
      <c r="A4" s="32" t="s">
        <v>30</v>
      </c>
      <c r="B4" s="32"/>
      <c r="C4" s="294">
        <v>43997</v>
      </c>
      <c r="D4" s="294"/>
      <c r="E4" s="266" t="s">
        <v>31</v>
      </c>
      <c r="F4" s="36"/>
      <c r="G4" s="293">
        <f>START_DATE+13</f>
        <v>44010</v>
      </c>
      <c r="H4" s="293"/>
      <c r="I4" s="32"/>
      <c r="J4" s="32"/>
      <c r="K4" s="291" t="str">
        <f>'Enter Employee Name, CWID'!A21</f>
        <v>Check Dept #</v>
      </c>
      <c r="L4" s="291"/>
      <c r="M4" s="291"/>
      <c r="N4" s="291"/>
      <c r="O4" s="291"/>
      <c r="P4" s="291"/>
      <c r="Q4" s="27"/>
      <c r="R4" s="28"/>
      <c r="S4" s="29" t="s">
        <v>32</v>
      </c>
      <c r="T4" s="29"/>
      <c r="U4" s="29"/>
      <c r="V4" s="29"/>
      <c r="W4" s="30">
        <f>(-W2+C4)/365.25</f>
        <v>120.45722108145107</v>
      </c>
      <c r="X4" s="27"/>
      <c r="Y4" s="30"/>
      <c r="Z4" s="30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</row>
    <row r="5" spans="1:106" ht="8.25" customHeight="1" x14ac:dyDescent="0.2">
      <c r="A5" s="32" t="s">
        <v>33</v>
      </c>
      <c r="B5" s="32"/>
      <c r="C5" s="32"/>
      <c r="D5" s="32"/>
      <c r="E5" s="32"/>
      <c r="F5" s="32"/>
      <c r="G5" s="32"/>
      <c r="H5" s="32"/>
      <c r="I5" s="32"/>
      <c r="J5" s="32"/>
      <c r="K5" s="291"/>
      <c r="L5" s="291"/>
      <c r="M5" s="291"/>
      <c r="N5" s="291"/>
      <c r="O5" s="291"/>
      <c r="P5" s="291"/>
      <c r="Q5" s="27"/>
      <c r="R5" s="28"/>
      <c r="S5" s="29" t="s">
        <v>34</v>
      </c>
      <c r="T5" s="29"/>
      <c r="U5" s="29"/>
      <c r="V5" s="29"/>
      <c r="W5" s="30"/>
      <c r="X5" s="29"/>
      <c r="Y5" s="30"/>
      <c r="Z5" s="30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</row>
    <row r="6" spans="1:106" ht="16.5" customHeight="1" thickBot="1" x14ac:dyDescent="0.3">
      <c r="A6" s="292" t="s">
        <v>35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64"/>
      <c r="N6" s="264"/>
      <c r="O6" s="264"/>
      <c r="P6" s="264"/>
      <c r="Q6" s="27"/>
      <c r="R6" s="28"/>
      <c r="S6" s="29"/>
      <c r="T6" s="29"/>
      <c r="U6" s="29"/>
      <c r="V6" s="29"/>
      <c r="W6" s="30"/>
      <c r="X6" s="29"/>
      <c r="Y6" s="30"/>
      <c r="Z6" s="30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</row>
    <row r="7" spans="1:106" ht="16.5" customHeight="1" thickBot="1" x14ac:dyDescent="0.3">
      <c r="A7" s="281" t="s">
        <v>114</v>
      </c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2"/>
      <c r="M7" s="278" t="s">
        <v>36</v>
      </c>
      <c r="N7" s="279"/>
      <c r="O7" s="38"/>
      <c r="P7" s="30"/>
      <c r="Q7" s="27"/>
      <c r="R7" s="23"/>
      <c r="S7" s="23"/>
      <c r="T7" s="23"/>
      <c r="U7" s="23"/>
      <c r="V7" s="23"/>
      <c r="W7" s="23"/>
      <c r="X7" s="23"/>
      <c r="Y7" s="23"/>
      <c r="Z7" s="23"/>
      <c r="AG7" s="27"/>
      <c r="AH7" s="27"/>
      <c r="AI7" s="27"/>
      <c r="AJ7" s="27"/>
      <c r="AK7" s="27"/>
      <c r="AL7" s="27"/>
      <c r="AM7" s="27"/>
      <c r="AN7" s="27"/>
      <c r="AO7" s="27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</row>
    <row r="8" spans="1:106" ht="15" customHeight="1" thickBot="1" x14ac:dyDescent="0.25">
      <c r="A8" s="39" t="s">
        <v>37</v>
      </c>
      <c r="B8" s="40" t="s">
        <v>38</v>
      </c>
      <c r="C8" s="41" t="s">
        <v>39</v>
      </c>
      <c r="D8" s="41" t="s">
        <v>40</v>
      </c>
      <c r="E8" s="41" t="s">
        <v>39</v>
      </c>
      <c r="F8" s="41" t="s">
        <v>40</v>
      </c>
      <c r="G8" s="42" t="s">
        <v>39</v>
      </c>
      <c r="H8" s="42" t="s">
        <v>40</v>
      </c>
      <c r="I8" s="42" t="s">
        <v>41</v>
      </c>
      <c r="J8" s="42" t="s">
        <v>42</v>
      </c>
      <c r="K8" s="42" t="s">
        <v>43</v>
      </c>
      <c r="L8" s="42" t="s">
        <v>44</v>
      </c>
      <c r="M8" s="43" t="s">
        <v>45</v>
      </c>
      <c r="N8" s="43" t="s">
        <v>46</v>
      </c>
      <c r="O8" s="44" t="s">
        <v>98</v>
      </c>
      <c r="P8" s="45" t="s">
        <v>47</v>
      </c>
      <c r="Q8" s="46"/>
      <c r="R8" s="23"/>
      <c r="S8" s="23"/>
      <c r="T8" s="23"/>
      <c r="U8" s="23"/>
      <c r="V8" s="23"/>
      <c r="W8" s="23"/>
      <c r="X8" s="23"/>
      <c r="Y8" s="23"/>
      <c r="Z8" s="23"/>
      <c r="AG8" s="47"/>
      <c r="AH8" s="47"/>
      <c r="AI8" s="47"/>
      <c r="AJ8" s="47"/>
      <c r="AK8" s="47"/>
      <c r="AL8" s="47"/>
      <c r="AM8" s="47"/>
      <c r="AN8" s="47"/>
      <c r="AO8" s="47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</row>
    <row r="9" spans="1:106" ht="14.1" customHeight="1" x14ac:dyDescent="0.2">
      <c r="A9" s="48">
        <f>START_DATE</f>
        <v>43997</v>
      </c>
      <c r="B9" s="49" t="s">
        <v>49</v>
      </c>
      <c r="C9" s="130"/>
      <c r="D9" s="130"/>
      <c r="E9" s="130"/>
      <c r="F9" s="130"/>
      <c r="G9" s="130"/>
      <c r="H9" s="130"/>
      <c r="I9" s="50">
        <f t="shared" ref="I9:I15" si="0">HoursWorked(C9,D9,E9,F9,G9,H9)</f>
        <v>0</v>
      </c>
      <c r="J9" s="51"/>
      <c r="K9" s="51"/>
      <c r="L9" s="51"/>
      <c r="M9" s="52"/>
      <c r="N9" s="51"/>
      <c r="O9" s="53"/>
      <c r="P9" s="54">
        <f>I9+J9+K9+L9+N9+O9</f>
        <v>0</v>
      </c>
      <c r="Q9" s="46"/>
      <c r="R9" s="23"/>
      <c r="S9" s="23"/>
      <c r="T9" s="23"/>
      <c r="U9" s="23"/>
      <c r="V9" s="23"/>
      <c r="W9" s="23"/>
      <c r="X9" s="23"/>
      <c r="Y9" s="23"/>
      <c r="Z9" s="23"/>
      <c r="AG9" s="55"/>
      <c r="AH9" s="55"/>
      <c r="AI9" s="55"/>
      <c r="AJ9" s="55"/>
      <c r="AK9" s="55"/>
      <c r="AL9" s="55"/>
      <c r="AM9" s="55"/>
      <c r="AN9" s="55"/>
      <c r="AO9" s="55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</row>
    <row r="10" spans="1:106" ht="14.1" customHeight="1" x14ac:dyDescent="0.2">
      <c r="A10" s="48">
        <f t="shared" ref="A10:A15" si="1">A9+1</f>
        <v>43998</v>
      </c>
      <c r="B10" s="49" t="s">
        <v>50</v>
      </c>
      <c r="C10" s="130">
        <v>0.45833333333333331</v>
      </c>
      <c r="D10" s="130">
        <v>0.47916666666666669</v>
      </c>
      <c r="E10" s="130">
        <v>0.625</v>
      </c>
      <c r="F10" s="130">
        <v>0.70833333333333337</v>
      </c>
      <c r="G10" s="130"/>
      <c r="H10" s="130"/>
      <c r="I10" s="50">
        <f t="shared" si="0"/>
        <v>2.5</v>
      </c>
      <c r="J10" s="51"/>
      <c r="K10" s="51"/>
      <c r="L10" s="51"/>
      <c r="M10" s="52"/>
      <c r="N10" s="51"/>
      <c r="O10" s="56"/>
      <c r="P10" s="54">
        <f t="shared" ref="P10:P15" si="2">I10+J10+K10+L10+N10+O10</f>
        <v>2.5</v>
      </c>
      <c r="Q10" s="46"/>
      <c r="R10" s="23"/>
      <c r="S10" s="23"/>
      <c r="T10" s="23"/>
      <c r="U10" s="23"/>
      <c r="V10" s="23"/>
      <c r="W10" s="23"/>
      <c r="X10" s="23"/>
      <c r="Y10" s="23"/>
      <c r="Z10" s="23"/>
      <c r="AG10" s="55"/>
      <c r="AH10" s="55"/>
      <c r="AI10" s="55"/>
      <c r="AJ10" s="55"/>
      <c r="AK10" s="55"/>
      <c r="AL10" s="55"/>
      <c r="AM10" s="55"/>
      <c r="AN10" s="55"/>
      <c r="AO10" s="55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</row>
    <row r="11" spans="1:106" ht="14.1" customHeight="1" x14ac:dyDescent="0.2">
      <c r="A11" s="259">
        <f t="shared" si="1"/>
        <v>43999</v>
      </c>
      <c r="B11" s="49" t="s">
        <v>51</v>
      </c>
      <c r="C11" s="130"/>
      <c r="D11" s="130"/>
      <c r="E11" s="130"/>
      <c r="F11" s="130"/>
      <c r="G11" s="130"/>
      <c r="H11" s="130"/>
      <c r="I11" s="50">
        <f>HoursWorked(C11,D11,E11,F11,G11,H11)</f>
        <v>0</v>
      </c>
      <c r="J11" s="57"/>
      <c r="K11" s="57"/>
      <c r="L11" s="57"/>
      <c r="M11" s="58"/>
      <c r="N11" s="51"/>
      <c r="O11" s="260"/>
      <c r="P11" s="54">
        <f t="shared" si="2"/>
        <v>0</v>
      </c>
      <c r="Q11" s="46"/>
      <c r="R11" s="23"/>
      <c r="S11" s="23"/>
      <c r="T11" s="23"/>
      <c r="U11" s="23"/>
      <c r="V11" s="23"/>
      <c r="W11" s="23"/>
      <c r="X11" s="23"/>
      <c r="Y11" s="23"/>
      <c r="Z11" s="23"/>
      <c r="AG11" s="55"/>
      <c r="AH11" s="55"/>
      <c r="AI11" s="55"/>
      <c r="AJ11" s="55"/>
      <c r="AK11" s="55"/>
      <c r="AL11" s="55"/>
      <c r="AM11" s="55"/>
      <c r="AN11" s="55"/>
      <c r="AO11" s="55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</row>
    <row r="12" spans="1:106" ht="14.1" customHeight="1" x14ac:dyDescent="0.2">
      <c r="A12" s="48">
        <f t="shared" si="1"/>
        <v>44000</v>
      </c>
      <c r="B12" s="49" t="s">
        <v>52</v>
      </c>
      <c r="C12" s="130"/>
      <c r="D12" s="130"/>
      <c r="E12" s="130"/>
      <c r="F12" s="130"/>
      <c r="G12" s="130"/>
      <c r="H12" s="130"/>
      <c r="I12" s="50">
        <f t="shared" si="0"/>
        <v>0</v>
      </c>
      <c r="J12" s="57"/>
      <c r="K12" s="57"/>
      <c r="L12" s="57"/>
      <c r="M12" s="58"/>
      <c r="N12" s="51"/>
      <c r="O12" s="56"/>
      <c r="P12" s="54">
        <f t="shared" si="2"/>
        <v>0</v>
      </c>
      <c r="Q12" s="46"/>
      <c r="R12" s="23"/>
      <c r="S12" s="23"/>
      <c r="T12" s="23"/>
      <c r="U12" s="23"/>
      <c r="V12" s="23"/>
      <c r="W12" s="23"/>
      <c r="X12" s="23"/>
      <c r="Y12" s="23"/>
      <c r="Z12" s="23"/>
      <c r="AG12" s="55"/>
      <c r="AH12" s="55"/>
      <c r="AI12" s="55"/>
      <c r="AJ12" s="55"/>
      <c r="AK12" s="55"/>
      <c r="AL12" s="55"/>
      <c r="AM12" s="55"/>
      <c r="AN12" s="55"/>
      <c r="AO12" s="55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</row>
    <row r="13" spans="1:106" ht="14.1" customHeight="1" x14ac:dyDescent="0.2">
      <c r="A13" s="48">
        <f t="shared" si="1"/>
        <v>44001</v>
      </c>
      <c r="B13" s="49" t="s">
        <v>53</v>
      </c>
      <c r="C13" s="130"/>
      <c r="D13" s="130"/>
      <c r="E13" s="130"/>
      <c r="F13" s="130"/>
      <c r="G13" s="130"/>
      <c r="H13" s="130"/>
      <c r="I13" s="50">
        <f t="shared" si="0"/>
        <v>0</v>
      </c>
      <c r="J13" s="57"/>
      <c r="K13" s="57"/>
      <c r="L13" s="57"/>
      <c r="M13" s="58"/>
      <c r="N13" s="51"/>
      <c r="O13" s="56"/>
      <c r="P13" s="54">
        <f t="shared" si="2"/>
        <v>0</v>
      </c>
      <c r="Q13" s="46"/>
      <c r="R13" s="23"/>
      <c r="S13" s="23"/>
      <c r="T13" s="23"/>
      <c r="U13" s="23"/>
      <c r="V13" s="23"/>
      <c r="W13" s="23"/>
      <c r="X13" s="23"/>
      <c r="Y13" s="23"/>
      <c r="Z13" s="23"/>
      <c r="AG13" s="55"/>
      <c r="AH13" s="55"/>
      <c r="AI13" s="55"/>
      <c r="AJ13" s="55"/>
      <c r="AK13" s="55"/>
      <c r="AL13" s="55"/>
      <c r="AM13" s="55"/>
      <c r="AN13" s="55"/>
      <c r="AO13" s="55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</row>
    <row r="14" spans="1:106" s="267" customFormat="1" ht="14.1" customHeight="1" x14ac:dyDescent="0.2">
      <c r="A14" s="48">
        <f t="shared" si="1"/>
        <v>44002</v>
      </c>
      <c r="B14" s="49" t="s">
        <v>54</v>
      </c>
      <c r="C14" s="130"/>
      <c r="D14" s="130"/>
      <c r="E14" s="130"/>
      <c r="F14" s="130"/>
      <c r="G14" s="130"/>
      <c r="H14" s="130"/>
      <c r="I14" s="50">
        <f t="shared" si="0"/>
        <v>0</v>
      </c>
      <c r="J14" s="57"/>
      <c r="K14" s="57"/>
      <c r="L14" s="57"/>
      <c r="M14" s="58"/>
      <c r="N14" s="51"/>
      <c r="O14" s="56"/>
      <c r="P14" s="54">
        <f t="shared" si="2"/>
        <v>0</v>
      </c>
      <c r="Q14" s="59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55"/>
      <c r="AH14" s="55"/>
      <c r="AI14" s="55"/>
      <c r="AJ14" s="55"/>
      <c r="AK14" s="55"/>
      <c r="AL14" s="55"/>
      <c r="AM14" s="55"/>
      <c r="AN14" s="55"/>
      <c r="AO14" s="55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</row>
    <row r="15" spans="1:106" s="68" customFormat="1" ht="14.1" customHeight="1" thickBot="1" x14ac:dyDescent="0.25">
      <c r="A15" s="48">
        <f t="shared" si="1"/>
        <v>44003</v>
      </c>
      <c r="B15" s="61" t="s">
        <v>48</v>
      </c>
      <c r="C15" s="130"/>
      <c r="D15" s="130"/>
      <c r="E15" s="130"/>
      <c r="F15" s="130"/>
      <c r="G15" s="130"/>
      <c r="H15" s="130"/>
      <c r="I15" s="50">
        <f t="shared" si="0"/>
        <v>0</v>
      </c>
      <c r="J15" s="62"/>
      <c r="K15" s="62"/>
      <c r="L15" s="62"/>
      <c r="M15" s="63"/>
      <c r="N15" s="64"/>
      <c r="O15" s="65"/>
      <c r="P15" s="54">
        <f t="shared" si="2"/>
        <v>0</v>
      </c>
      <c r="Q15" s="66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55"/>
      <c r="AH15" s="55"/>
      <c r="AI15" s="55"/>
      <c r="AJ15" s="55"/>
      <c r="AK15" s="55"/>
      <c r="AL15" s="55"/>
      <c r="AM15" s="55"/>
      <c r="AN15" s="55"/>
      <c r="AO15" s="55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</row>
    <row r="16" spans="1:106" s="68" customFormat="1" ht="14.1" customHeight="1" thickBot="1" x14ac:dyDescent="0.25">
      <c r="A16" s="69"/>
      <c r="B16" s="70"/>
      <c r="C16" s="70"/>
      <c r="D16" s="70"/>
      <c r="E16" s="71"/>
      <c r="F16" s="71" t="s">
        <v>55</v>
      </c>
      <c r="G16" s="71"/>
      <c r="H16" s="72">
        <v>0</v>
      </c>
      <c r="I16" s="71"/>
      <c r="J16" s="73">
        <f>SUM(J9:J15)</f>
        <v>0</v>
      </c>
      <c r="K16" s="74">
        <f>SUM(K9:K15)</f>
        <v>0</v>
      </c>
      <c r="L16" s="74">
        <f>SUM(L9:L15)</f>
        <v>0</v>
      </c>
      <c r="M16" s="75"/>
      <c r="N16" s="74">
        <f>SUM(N9:N15)</f>
        <v>0</v>
      </c>
      <c r="O16" s="76">
        <f>SUM(O9:O15)</f>
        <v>0</v>
      </c>
      <c r="P16" s="77">
        <f>SUM(P9:P15)</f>
        <v>2.5</v>
      </c>
      <c r="Q16" s="66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55"/>
      <c r="AH16" s="55"/>
      <c r="AI16" s="55"/>
      <c r="AJ16" s="55"/>
      <c r="AK16" s="55"/>
      <c r="AL16" s="55"/>
      <c r="AM16" s="55"/>
      <c r="AN16" s="55"/>
      <c r="AO16" s="78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</row>
    <row r="17" spans="1:106" s="68" customFormat="1" ht="18.75" customHeight="1" thickBot="1" x14ac:dyDescent="0.3">
      <c r="A17" s="79" t="s">
        <v>56</v>
      </c>
      <c r="B17" s="80"/>
      <c r="C17" s="283">
        <f>SUM(I9:I15)</f>
        <v>2.5</v>
      </c>
      <c r="D17" s="283"/>
      <c r="E17" s="81"/>
      <c r="F17" s="81"/>
      <c r="G17" s="81"/>
      <c r="H17" s="82"/>
      <c r="I17" s="83" t="s">
        <v>33</v>
      </c>
      <c r="J17" s="84"/>
      <c r="K17" s="81"/>
      <c r="L17" s="81"/>
      <c r="M17" s="81" t="s">
        <v>57</v>
      </c>
      <c r="N17" s="81"/>
      <c r="O17" s="81"/>
      <c r="P17" s="85">
        <f>C17+T18</f>
        <v>2.5</v>
      </c>
      <c r="Q17" s="66"/>
      <c r="R17" s="32"/>
      <c r="S17" s="86" t="s">
        <v>58</v>
      </c>
      <c r="T17" s="87"/>
      <c r="U17" s="87"/>
      <c r="V17" s="87"/>
      <c r="W17" s="87"/>
      <c r="X17" s="87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</row>
    <row r="18" spans="1:106" s="68" customFormat="1" ht="14.1" customHeight="1" thickBot="1" x14ac:dyDescent="0.25">
      <c r="A18" s="88"/>
      <c r="B18" s="32"/>
      <c r="C18" s="89"/>
      <c r="D18" s="90"/>
      <c r="E18" s="89"/>
      <c r="F18" s="89"/>
      <c r="G18" s="23"/>
      <c r="H18" s="89"/>
      <c r="I18" s="91"/>
      <c r="J18" s="89"/>
      <c r="K18" s="89"/>
      <c r="L18" s="89"/>
      <c r="M18" s="89"/>
      <c r="N18" s="89"/>
      <c r="O18" s="89"/>
      <c r="P18" s="89"/>
      <c r="Q18" s="32"/>
      <c r="R18" s="32"/>
      <c r="S18" s="87" t="s">
        <v>59</v>
      </c>
      <c r="T18" s="92">
        <f>SUM(J16:L16)+N16+O16</f>
        <v>0</v>
      </c>
      <c r="U18" s="87"/>
      <c r="V18" s="87"/>
      <c r="W18" s="87"/>
      <c r="X18" s="87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</row>
    <row r="19" spans="1:106" s="68" customFormat="1" ht="13.5" thickBot="1" x14ac:dyDescent="0.25">
      <c r="A19" s="93" t="s">
        <v>60</v>
      </c>
      <c r="B19" s="94"/>
      <c r="C19" s="95"/>
      <c r="D19" s="96"/>
      <c r="E19" s="27"/>
      <c r="F19" s="27"/>
      <c r="G19" s="97" t="s">
        <v>103</v>
      </c>
      <c r="H19" s="98"/>
      <c r="I19" s="99"/>
      <c r="J19" s="100"/>
      <c r="K19" s="23"/>
      <c r="L19" s="23"/>
      <c r="M19" s="23"/>
      <c r="N19" s="23"/>
      <c r="O19" s="23"/>
      <c r="P19" s="101"/>
      <c r="Q19" s="32"/>
      <c r="R19" s="32"/>
      <c r="S19" s="23" t="s">
        <v>61</v>
      </c>
      <c r="T19" s="102">
        <f>IF((C17-H16+T18)&lt;=40,0,IF(AND((C17-H16)&lt;=40,(C17-H16+T18)&gt;40),((C17-H16+T18)-40),T18))</f>
        <v>0</v>
      </c>
      <c r="U19" s="87"/>
      <c r="V19" s="87"/>
      <c r="W19" s="87"/>
      <c r="X19" s="87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</row>
    <row r="20" spans="1:106" s="68" customFormat="1" x14ac:dyDescent="0.2">
      <c r="A20" s="103" t="s">
        <v>62</v>
      </c>
      <c r="B20" s="104"/>
      <c r="C20" s="104"/>
      <c r="D20" s="105"/>
      <c r="E20" s="27"/>
      <c r="F20" s="27"/>
      <c r="G20" s="106" t="s">
        <v>65</v>
      </c>
      <c r="H20" s="107"/>
      <c r="I20" s="108"/>
      <c r="J20" s="109"/>
      <c r="K20" s="23"/>
      <c r="L20" s="23"/>
      <c r="M20" s="23"/>
      <c r="N20" s="23"/>
      <c r="O20" s="23"/>
      <c r="P20" s="110"/>
      <c r="Q20" s="32"/>
      <c r="R20" s="32"/>
      <c r="S20" s="87" t="s">
        <v>63</v>
      </c>
      <c r="T20" s="92">
        <f>IF((C17-H16)&lt;=40,0,(C17-H16-40))</f>
        <v>0</v>
      </c>
      <c r="U20" s="92">
        <f>ROUND(T20*OvertimeRate,2)</f>
        <v>0</v>
      </c>
      <c r="V20" s="87"/>
      <c r="W20" s="87"/>
      <c r="X20" s="87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</row>
    <row r="21" spans="1:106" s="68" customFormat="1" x14ac:dyDescent="0.2">
      <c r="A21" s="103" t="s">
        <v>64</v>
      </c>
      <c r="B21" s="104"/>
      <c r="C21" s="104"/>
      <c r="D21" s="105"/>
      <c r="E21" s="27"/>
      <c r="F21" s="27"/>
      <c r="G21" s="111" t="s">
        <v>67</v>
      </c>
      <c r="H21" s="112"/>
      <c r="I21" s="113"/>
      <c r="J21" s="114"/>
      <c r="K21" s="285" t="s">
        <v>97</v>
      </c>
      <c r="L21" s="285"/>
      <c r="M21" s="285"/>
      <c r="N21" s="285"/>
      <c r="O21" s="285"/>
      <c r="P21" s="285"/>
      <c r="Q21" s="32"/>
      <c r="R21" s="32"/>
      <c r="S21" s="87"/>
      <c r="T21" s="87"/>
      <c r="U21" s="87"/>
      <c r="V21" s="87"/>
      <c r="W21" s="87"/>
      <c r="X21" s="87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</row>
    <row r="22" spans="1:106" s="68" customFormat="1" x14ac:dyDescent="0.2">
      <c r="A22" s="103" t="s">
        <v>66</v>
      </c>
      <c r="B22" s="104"/>
      <c r="C22" s="104"/>
      <c r="D22" s="105"/>
      <c r="E22" s="27"/>
      <c r="F22" s="115"/>
      <c r="G22" s="116" t="s">
        <v>99</v>
      </c>
      <c r="H22" s="112"/>
      <c r="I22" s="113"/>
      <c r="J22" s="114"/>
      <c r="K22" s="285" t="s">
        <v>96</v>
      </c>
      <c r="L22" s="285"/>
      <c r="M22" s="285"/>
      <c r="N22" s="285"/>
      <c r="O22" s="285"/>
      <c r="P22" s="186"/>
      <c r="Q22" s="32"/>
      <c r="R22" s="32"/>
      <c r="S22" s="87"/>
      <c r="T22" s="87"/>
      <c r="U22" s="87"/>
      <c r="V22" s="87"/>
      <c r="W22" s="87"/>
      <c r="X22" s="87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</row>
    <row r="23" spans="1:106" s="68" customFormat="1" ht="13.5" thickBot="1" x14ac:dyDescent="0.25">
      <c r="A23" s="117" t="s">
        <v>68</v>
      </c>
      <c r="B23" s="118"/>
      <c r="C23" s="118"/>
      <c r="D23" s="119"/>
      <c r="E23" s="27"/>
      <c r="F23" s="27"/>
      <c r="G23" s="111" t="s">
        <v>104</v>
      </c>
      <c r="H23" s="112"/>
      <c r="I23" s="120"/>
      <c r="J23" s="121"/>
      <c r="K23" s="23"/>
      <c r="L23" s="23"/>
      <c r="M23" s="122"/>
      <c r="N23" s="23"/>
      <c r="O23" s="122"/>
      <c r="P23" s="110"/>
      <c r="Q23" s="32"/>
      <c r="R23" s="28"/>
      <c r="S23" s="29"/>
      <c r="T23" s="29"/>
      <c r="U23" s="29"/>
      <c r="V23" s="29"/>
      <c r="W23" s="29"/>
      <c r="X23" s="29"/>
      <c r="Y23" s="30"/>
      <c r="Z23" s="30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</row>
    <row r="24" spans="1:106" s="68" customFormat="1" ht="14.1" customHeight="1" thickBot="1" x14ac:dyDescent="0.25">
      <c r="A24" s="88"/>
      <c r="B24" s="32"/>
      <c r="C24" s="127"/>
      <c r="D24" s="127"/>
      <c r="E24" s="127"/>
      <c r="F24" s="127"/>
      <c r="G24" s="123" t="s">
        <v>118</v>
      </c>
      <c r="H24" s="124"/>
      <c r="I24" s="125"/>
      <c r="J24" s="126"/>
      <c r="K24" s="92"/>
      <c r="L24" s="92"/>
      <c r="O24" s="187"/>
      <c r="P24" s="92"/>
      <c r="Q24" s="32"/>
      <c r="R24" s="28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32"/>
      <c r="AH24" s="32"/>
      <c r="AI24" s="32"/>
      <c r="AJ24" s="32"/>
      <c r="AK24" s="32"/>
      <c r="AL24" s="32"/>
      <c r="AM24" s="32"/>
      <c r="AN24" s="32"/>
      <c r="AO24" s="32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</row>
    <row r="25" spans="1:106" s="68" customFormat="1" ht="14.1" customHeight="1" thickBot="1" x14ac:dyDescent="0.25">
      <c r="A25" s="88"/>
      <c r="B25" s="32"/>
      <c r="C25" s="127"/>
      <c r="D25" s="127"/>
      <c r="E25" s="127"/>
      <c r="F25" s="127"/>
      <c r="G25" s="188"/>
      <c r="H25" s="189"/>
      <c r="I25" s="188"/>
      <c r="J25" s="84"/>
      <c r="K25" s="92"/>
      <c r="L25" s="92"/>
      <c r="M25" s="278" t="s">
        <v>36</v>
      </c>
      <c r="N25" s="279"/>
      <c r="O25" s="190"/>
      <c r="P25" s="82"/>
      <c r="Q25" s="32"/>
      <c r="R25" s="28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32"/>
      <c r="AH25" s="32"/>
      <c r="AI25" s="32"/>
      <c r="AJ25" s="32"/>
      <c r="AK25" s="32"/>
      <c r="AL25" s="32"/>
      <c r="AM25" s="32"/>
      <c r="AN25" s="32"/>
      <c r="AO25" s="32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</row>
    <row r="26" spans="1:106" s="68" customFormat="1" ht="14.25" customHeight="1" thickBot="1" x14ac:dyDescent="0.25">
      <c r="A26" s="128" t="s">
        <v>37</v>
      </c>
      <c r="B26" s="40" t="s">
        <v>38</v>
      </c>
      <c r="C26" s="41" t="s">
        <v>39</v>
      </c>
      <c r="D26" s="41" t="s">
        <v>40</v>
      </c>
      <c r="E26" s="41" t="s">
        <v>39</v>
      </c>
      <c r="F26" s="41" t="s">
        <v>40</v>
      </c>
      <c r="G26" s="42" t="s">
        <v>39</v>
      </c>
      <c r="H26" s="42" t="s">
        <v>40</v>
      </c>
      <c r="I26" s="42" t="s">
        <v>41</v>
      </c>
      <c r="J26" s="42" t="s">
        <v>42</v>
      </c>
      <c r="K26" s="42" t="s">
        <v>43</v>
      </c>
      <c r="L26" s="42" t="s">
        <v>44</v>
      </c>
      <c r="M26" s="43" t="s">
        <v>45</v>
      </c>
      <c r="N26" s="43" t="s">
        <v>46</v>
      </c>
      <c r="O26" s="44" t="s">
        <v>98</v>
      </c>
      <c r="P26" s="129" t="s">
        <v>47</v>
      </c>
      <c r="Q26" s="32"/>
      <c r="R26" s="127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47"/>
      <c r="AH26" s="47"/>
      <c r="AI26" s="47"/>
      <c r="AJ26" s="47"/>
      <c r="AK26" s="47"/>
      <c r="AL26" s="47"/>
      <c r="AM26" s="47"/>
      <c r="AN26" s="47"/>
      <c r="AO26" s="4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</row>
    <row r="27" spans="1:106" s="68" customFormat="1" ht="14.1" customHeight="1" x14ac:dyDescent="0.2">
      <c r="A27" s="48">
        <f>A15+1</f>
        <v>44004</v>
      </c>
      <c r="B27" s="49" t="s">
        <v>49</v>
      </c>
      <c r="C27" s="130"/>
      <c r="D27" s="130"/>
      <c r="E27" s="130"/>
      <c r="F27" s="130"/>
      <c r="G27" s="130"/>
      <c r="H27" s="130"/>
      <c r="I27" s="50">
        <f t="shared" ref="I27:I33" si="3">HoursWorked(C27,D27,E27,F27,G27,H27)</f>
        <v>0</v>
      </c>
      <c r="J27" s="51"/>
      <c r="K27" s="51"/>
      <c r="L27" s="51"/>
      <c r="M27" s="52"/>
      <c r="N27" s="51"/>
      <c r="O27" s="53"/>
      <c r="P27" s="54">
        <f>I27+J27+K27+L27+N27+O27</f>
        <v>0</v>
      </c>
      <c r="Q27" s="32"/>
      <c r="R27" s="127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55"/>
      <c r="AH27" s="55"/>
      <c r="AI27" s="55"/>
      <c r="AJ27" s="55"/>
      <c r="AK27" s="55"/>
      <c r="AL27" s="55"/>
      <c r="AM27" s="55"/>
      <c r="AN27" s="55"/>
      <c r="AO27" s="55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</row>
    <row r="28" spans="1:106" s="68" customFormat="1" ht="14.1" customHeight="1" x14ac:dyDescent="0.2">
      <c r="A28" s="48">
        <f t="shared" ref="A28:A33" si="4">A27+1</f>
        <v>44005</v>
      </c>
      <c r="B28" s="49" t="s">
        <v>50</v>
      </c>
      <c r="C28" s="130"/>
      <c r="D28" s="130"/>
      <c r="E28" s="130"/>
      <c r="F28" s="130"/>
      <c r="G28" s="130"/>
      <c r="H28" s="130"/>
      <c r="I28" s="50">
        <f t="shared" si="3"/>
        <v>0</v>
      </c>
      <c r="J28" s="51"/>
      <c r="K28" s="51"/>
      <c r="L28" s="51"/>
      <c r="M28" s="52"/>
      <c r="N28" s="51"/>
      <c r="O28" s="261"/>
      <c r="P28" s="54">
        <f t="shared" ref="P28:P33" si="5">I28+J28+K28+L28+N28+O28</f>
        <v>0</v>
      </c>
      <c r="Q28" s="32"/>
      <c r="R28" s="127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55"/>
      <c r="AH28" s="55"/>
      <c r="AI28" s="55"/>
      <c r="AJ28" s="55"/>
      <c r="AK28" s="55"/>
      <c r="AL28" s="55"/>
      <c r="AM28" s="55"/>
      <c r="AN28" s="55"/>
      <c r="AO28" s="55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</row>
    <row r="29" spans="1:106" s="68" customFormat="1" ht="14.1" customHeight="1" x14ac:dyDescent="0.2">
      <c r="A29" s="48">
        <f t="shared" si="4"/>
        <v>44006</v>
      </c>
      <c r="B29" s="49" t="s">
        <v>51</v>
      </c>
      <c r="C29" s="130"/>
      <c r="D29" s="130"/>
      <c r="E29" s="130"/>
      <c r="F29" s="130"/>
      <c r="G29" s="130"/>
      <c r="H29" s="130"/>
      <c r="I29" s="50">
        <f t="shared" si="3"/>
        <v>0</v>
      </c>
      <c r="J29" s="57"/>
      <c r="K29" s="57"/>
      <c r="L29" s="57"/>
      <c r="M29" s="58"/>
      <c r="N29" s="51"/>
      <c r="O29" s="56"/>
      <c r="P29" s="54">
        <f t="shared" si="5"/>
        <v>0</v>
      </c>
      <c r="Q29" s="32"/>
      <c r="R29" s="127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55"/>
      <c r="AH29" s="55"/>
      <c r="AI29" s="55"/>
      <c r="AJ29" s="55"/>
      <c r="AK29" s="55"/>
      <c r="AL29" s="55"/>
      <c r="AM29" s="55"/>
      <c r="AN29" s="55"/>
      <c r="AO29" s="55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</row>
    <row r="30" spans="1:106" s="68" customFormat="1" ht="14.1" customHeight="1" x14ac:dyDescent="0.2">
      <c r="A30" s="48">
        <f t="shared" si="4"/>
        <v>44007</v>
      </c>
      <c r="B30" s="49" t="s">
        <v>52</v>
      </c>
      <c r="C30" s="130"/>
      <c r="D30" s="130"/>
      <c r="E30" s="130"/>
      <c r="F30" s="130"/>
      <c r="G30" s="130"/>
      <c r="H30" s="130"/>
      <c r="I30" s="50">
        <f t="shared" si="3"/>
        <v>0</v>
      </c>
      <c r="J30" s="57"/>
      <c r="K30" s="57"/>
      <c r="L30" s="57"/>
      <c r="M30" s="58"/>
      <c r="N30" s="51"/>
      <c r="O30" s="56"/>
      <c r="P30" s="54">
        <f t="shared" si="5"/>
        <v>0</v>
      </c>
      <c r="Q30" s="32"/>
      <c r="R30" s="27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55"/>
      <c r="AH30" s="55"/>
      <c r="AI30" s="55"/>
      <c r="AJ30" s="55"/>
      <c r="AK30" s="55"/>
      <c r="AL30" s="55"/>
      <c r="AM30" s="55"/>
      <c r="AN30" s="55"/>
      <c r="AO30" s="55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  <c r="DA30" s="67"/>
      <c r="DB30" s="67"/>
    </row>
    <row r="31" spans="1:106" s="68" customFormat="1" ht="14.1" customHeight="1" x14ac:dyDescent="0.2">
      <c r="A31" s="48">
        <f t="shared" si="4"/>
        <v>44008</v>
      </c>
      <c r="B31" s="49" t="s">
        <v>53</v>
      </c>
      <c r="C31" s="130"/>
      <c r="D31" s="130"/>
      <c r="E31" s="130"/>
      <c r="F31" s="130"/>
      <c r="G31" s="130"/>
      <c r="H31" s="130"/>
      <c r="I31" s="50">
        <f t="shared" si="3"/>
        <v>0</v>
      </c>
      <c r="J31" s="57"/>
      <c r="K31" s="57"/>
      <c r="L31" s="57"/>
      <c r="M31" s="58"/>
      <c r="N31" s="51"/>
      <c r="O31" s="56"/>
      <c r="P31" s="54">
        <f t="shared" si="5"/>
        <v>0</v>
      </c>
      <c r="Q31" s="32"/>
      <c r="R31" s="27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55"/>
      <c r="AH31" s="55"/>
      <c r="AI31" s="55"/>
      <c r="AJ31" s="55"/>
      <c r="AK31" s="55"/>
      <c r="AL31" s="55"/>
      <c r="AM31" s="55"/>
      <c r="AN31" s="55"/>
      <c r="AO31" s="55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</row>
    <row r="32" spans="1:106" s="68" customFormat="1" ht="14.1" customHeight="1" x14ac:dyDescent="0.2">
      <c r="A32" s="48">
        <f t="shared" si="4"/>
        <v>44009</v>
      </c>
      <c r="B32" s="49" t="s">
        <v>54</v>
      </c>
      <c r="C32" s="130"/>
      <c r="D32" s="130"/>
      <c r="E32" s="130"/>
      <c r="F32" s="130"/>
      <c r="G32" s="130"/>
      <c r="H32" s="130"/>
      <c r="I32" s="50">
        <f t="shared" si="3"/>
        <v>0</v>
      </c>
      <c r="J32" s="57"/>
      <c r="K32" s="57"/>
      <c r="L32" s="57"/>
      <c r="M32" s="58"/>
      <c r="N32" s="51"/>
      <c r="O32" s="56"/>
      <c r="P32" s="54">
        <f t="shared" si="5"/>
        <v>0</v>
      </c>
      <c r="Q32" s="32"/>
      <c r="R32" s="27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55"/>
      <c r="AH32" s="55"/>
      <c r="AI32" s="55"/>
      <c r="AJ32" s="55"/>
      <c r="AK32" s="55"/>
      <c r="AL32" s="55"/>
      <c r="AM32" s="55"/>
      <c r="AN32" s="55"/>
      <c r="AO32" s="55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</row>
    <row r="33" spans="1:106" s="68" customFormat="1" ht="14.1" customHeight="1" thickBot="1" x14ac:dyDescent="0.25">
      <c r="A33" s="48">
        <f t="shared" si="4"/>
        <v>44010</v>
      </c>
      <c r="B33" s="61" t="s">
        <v>48</v>
      </c>
      <c r="C33" s="130"/>
      <c r="D33" s="130"/>
      <c r="E33" s="130"/>
      <c r="F33" s="130"/>
      <c r="G33" s="131"/>
      <c r="H33" s="131"/>
      <c r="I33" s="50">
        <f t="shared" si="3"/>
        <v>0</v>
      </c>
      <c r="J33" s="62"/>
      <c r="K33" s="62"/>
      <c r="L33" s="62"/>
      <c r="M33" s="63"/>
      <c r="N33" s="64"/>
      <c r="O33" s="65"/>
      <c r="P33" s="54">
        <f t="shared" si="5"/>
        <v>0</v>
      </c>
      <c r="Q33" s="32"/>
      <c r="R33" s="27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55"/>
      <c r="AH33" s="55"/>
      <c r="AI33" s="55"/>
      <c r="AJ33" s="55"/>
      <c r="AK33" s="55"/>
      <c r="AL33" s="55"/>
      <c r="AM33" s="55"/>
      <c r="AN33" s="55"/>
      <c r="AO33" s="55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</row>
    <row r="34" spans="1:106" s="68" customFormat="1" ht="14.1" customHeight="1" thickBot="1" x14ac:dyDescent="0.25">
      <c r="A34" s="132" t="s">
        <v>33</v>
      </c>
      <c r="B34" s="133"/>
      <c r="C34" s="71"/>
      <c r="D34" s="71"/>
      <c r="E34" s="71"/>
      <c r="F34" s="71" t="s">
        <v>55</v>
      </c>
      <c r="G34" s="71"/>
      <c r="H34" s="72">
        <v>0</v>
      </c>
      <c r="I34" s="71"/>
      <c r="J34" s="73">
        <f>SUM(J27:J33)</f>
        <v>0</v>
      </c>
      <c r="K34" s="134">
        <f>SUM(K27:K33)</f>
        <v>0</v>
      </c>
      <c r="L34" s="74">
        <f>SUM(L27:L33)</f>
        <v>0</v>
      </c>
      <c r="M34" s="75"/>
      <c r="N34" s="135">
        <f>SUM(N27:N33)</f>
        <v>0</v>
      </c>
      <c r="O34" s="76">
        <f>SUM(O27:O33)</f>
        <v>0</v>
      </c>
      <c r="P34" s="136">
        <f>SUM(P27:P33)</f>
        <v>0</v>
      </c>
      <c r="Q34" s="32"/>
      <c r="R34" s="27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55"/>
      <c r="AH34" s="55"/>
      <c r="AI34" s="55"/>
      <c r="AJ34" s="55"/>
      <c r="AK34" s="55"/>
      <c r="AL34" s="55"/>
      <c r="AM34" s="55"/>
      <c r="AN34" s="55"/>
      <c r="AO34" s="78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</row>
    <row r="35" spans="1:106" s="68" customFormat="1" ht="14.1" hidden="1" customHeight="1" x14ac:dyDescent="0.2">
      <c r="A35" s="137"/>
      <c r="B35" s="32"/>
      <c r="C35" s="89"/>
      <c r="D35" s="89"/>
      <c r="E35" s="89"/>
      <c r="F35" s="89"/>
      <c r="G35" s="89"/>
      <c r="H35" s="138"/>
      <c r="I35" s="89"/>
      <c r="J35" s="92">
        <f>J34+J16</f>
        <v>0</v>
      </c>
      <c r="K35" s="92">
        <f>K34+K16</f>
        <v>0</v>
      </c>
      <c r="L35" s="92">
        <f>L34+L16</f>
        <v>0</v>
      </c>
      <c r="M35" s="92"/>
      <c r="N35" s="92">
        <f>N34+N16</f>
        <v>0</v>
      </c>
      <c r="O35" s="92">
        <f>O34+O16</f>
        <v>0</v>
      </c>
      <c r="P35" s="139"/>
      <c r="Q35" s="32"/>
      <c r="R35" s="27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55"/>
      <c r="AH35" s="55"/>
      <c r="AI35" s="55"/>
      <c r="AJ35" s="55"/>
      <c r="AK35" s="55"/>
      <c r="AL35" s="55"/>
      <c r="AM35" s="55"/>
      <c r="AN35" s="55"/>
      <c r="AO35" s="78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</row>
    <row r="36" spans="1:106" s="68" customFormat="1" ht="16.5" customHeight="1" thickBot="1" x14ac:dyDescent="0.3">
      <c r="A36" s="79" t="s">
        <v>56</v>
      </c>
      <c r="B36" s="80"/>
      <c r="C36" s="283">
        <f>SUM(I27:I33)</f>
        <v>0</v>
      </c>
      <c r="D36" s="283"/>
      <c r="E36" s="81"/>
      <c r="F36" s="81"/>
      <c r="G36" s="81"/>
      <c r="H36" s="82"/>
      <c r="I36" s="83" t="s">
        <v>33</v>
      </c>
      <c r="J36" s="84"/>
      <c r="K36" s="81"/>
      <c r="L36" s="81"/>
      <c r="M36" s="81" t="s">
        <v>57</v>
      </c>
      <c r="N36" s="81"/>
      <c r="O36" s="81"/>
      <c r="P36" s="140">
        <f>C36+T37</f>
        <v>0</v>
      </c>
      <c r="Q36" s="32"/>
      <c r="R36" s="27"/>
      <c r="S36" s="86" t="s">
        <v>69</v>
      </c>
      <c r="T36" s="87"/>
      <c r="U36" s="87"/>
      <c r="V36" s="29"/>
      <c r="W36" s="29"/>
      <c r="X36" s="29"/>
      <c r="Y36" s="27"/>
      <c r="Z36" s="27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</row>
    <row r="37" spans="1:106" s="68" customFormat="1" ht="18" customHeight="1" thickBot="1" x14ac:dyDescent="0.3">
      <c r="A37" s="141" t="s">
        <v>70</v>
      </c>
      <c r="B37" s="142"/>
      <c r="C37" s="143"/>
      <c r="D37" s="144">
        <f>+C36+C17</f>
        <v>2.5</v>
      </c>
      <c r="E37" s="127"/>
      <c r="F37" s="127"/>
      <c r="G37" s="92"/>
      <c r="H37" s="92"/>
      <c r="I37" s="145" t="s">
        <v>71</v>
      </c>
      <c r="J37" s="135"/>
      <c r="K37" s="135"/>
      <c r="L37" s="135"/>
      <c r="M37" s="135"/>
      <c r="N37" s="135"/>
      <c r="O37" s="287">
        <f>+P36+P17</f>
        <v>2.5</v>
      </c>
      <c r="P37" s="288"/>
      <c r="Q37" s="32"/>
      <c r="R37" s="27"/>
      <c r="S37" s="87" t="s">
        <v>59</v>
      </c>
      <c r="T37" s="92">
        <f>SUM(J34:L34)+N34+O34</f>
        <v>0</v>
      </c>
      <c r="U37" s="87"/>
      <c r="V37" s="29"/>
      <c r="W37" s="29"/>
      <c r="X37" s="29"/>
      <c r="Y37" s="27"/>
      <c r="Z37" s="27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</row>
    <row r="38" spans="1:106" s="68" customFormat="1" ht="8.25" customHeight="1" x14ac:dyDescent="0.2">
      <c r="A38" s="32"/>
      <c r="B38" s="32"/>
      <c r="C38" s="127"/>
      <c r="D38" s="146"/>
      <c r="E38" s="127"/>
      <c r="F38" s="127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32"/>
      <c r="R38" s="27"/>
      <c r="S38" s="87"/>
      <c r="T38" s="92"/>
      <c r="U38" s="87"/>
      <c r="V38" s="29"/>
      <c r="W38" s="29"/>
      <c r="X38" s="29"/>
      <c r="Y38" s="27"/>
      <c r="Z38" s="27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</row>
    <row r="39" spans="1:106" s="68" customFormat="1" ht="14.1" customHeight="1" x14ac:dyDescent="0.2">
      <c r="A39" s="32"/>
      <c r="B39" s="32"/>
      <c r="C39" s="127"/>
      <c r="D39" s="127"/>
      <c r="E39" s="286" t="s">
        <v>113</v>
      </c>
      <c r="F39" s="286"/>
      <c r="G39" s="286"/>
      <c r="H39" s="286"/>
      <c r="I39" s="286"/>
      <c r="J39" s="286"/>
      <c r="K39" s="286"/>
      <c r="L39" s="286"/>
      <c r="M39" s="286"/>
      <c r="N39" s="286"/>
      <c r="O39" s="286"/>
      <c r="P39" s="286"/>
      <c r="Q39" s="32"/>
      <c r="R39" s="27"/>
      <c r="S39" s="23" t="s">
        <v>61</v>
      </c>
      <c r="T39" s="102">
        <f>IF((C36-H34+T37)&lt;=40,0,IF(AND((C36-H34)&lt;=40,(C36-H34+T37)&gt;40),((C36-H34+T37)-40),T37))</f>
        <v>0</v>
      </c>
      <c r="U39" s="87"/>
      <c r="V39" s="29"/>
      <c r="W39" s="29"/>
      <c r="X39" s="29"/>
      <c r="Y39" s="27"/>
      <c r="Z39" s="27"/>
      <c r="AA39" s="32"/>
      <c r="AB39" s="32"/>
      <c r="AC39" s="32"/>
      <c r="AD39" s="32"/>
      <c r="AE39" s="32"/>
      <c r="AF39" s="32"/>
      <c r="AG39" s="55"/>
      <c r="AH39" s="55"/>
      <c r="AI39" s="55"/>
      <c r="AJ39" s="55"/>
      <c r="AK39" s="55"/>
      <c r="AL39" s="55"/>
      <c r="AM39" s="55"/>
      <c r="AN39" s="92"/>
      <c r="AO39" s="32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</row>
    <row r="40" spans="1:106" s="68" customFormat="1" ht="8.25" customHeight="1" thickBot="1" x14ac:dyDescent="0.25">
      <c r="A40" s="32"/>
      <c r="B40" s="32"/>
      <c r="C40" s="127"/>
      <c r="D40" s="127"/>
      <c r="E40" s="127"/>
      <c r="F40" s="127"/>
      <c r="G40" s="147"/>
      <c r="H40" s="92"/>
      <c r="I40" s="92"/>
      <c r="J40" s="92"/>
      <c r="K40" s="92"/>
      <c r="L40" s="92"/>
      <c r="M40" s="92"/>
      <c r="N40" s="92"/>
      <c r="O40" s="92"/>
      <c r="P40" s="92"/>
      <c r="Q40" s="32"/>
      <c r="R40" s="27"/>
      <c r="S40" s="23"/>
      <c r="T40" s="102"/>
      <c r="U40" s="87"/>
      <c r="V40" s="29"/>
      <c r="W40" s="29"/>
      <c r="X40" s="29"/>
      <c r="Y40" s="27"/>
      <c r="Z40" s="27"/>
      <c r="AA40" s="32"/>
      <c r="AB40" s="32"/>
      <c r="AC40" s="32"/>
      <c r="AD40" s="32"/>
      <c r="AE40" s="32"/>
      <c r="AF40" s="32"/>
      <c r="AG40" s="55"/>
      <c r="AH40" s="55"/>
      <c r="AI40" s="55"/>
      <c r="AJ40" s="55"/>
      <c r="AK40" s="55"/>
      <c r="AL40" s="55"/>
      <c r="AM40" s="55"/>
      <c r="AN40" s="92"/>
      <c r="AO40" s="32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</row>
    <row r="41" spans="1:106" s="68" customFormat="1" ht="14.1" customHeight="1" x14ac:dyDescent="0.2">
      <c r="A41" s="23"/>
      <c r="B41" s="23"/>
      <c r="C41" s="272" t="s">
        <v>72</v>
      </c>
      <c r="D41" s="272"/>
      <c r="E41" s="272"/>
      <c r="F41" s="23"/>
      <c r="G41" s="23"/>
      <c r="H41" s="27"/>
      <c r="I41" s="148" t="s">
        <v>73</v>
      </c>
      <c r="J41" s="149"/>
      <c r="K41" s="149"/>
      <c r="L41" s="149"/>
      <c r="M41" s="150"/>
      <c r="N41" s="151" t="e">
        <f>#REF!</f>
        <v>#REF!</v>
      </c>
      <c r="O41" s="152"/>
      <c r="P41" s="23"/>
      <c r="Q41" s="23"/>
      <c r="R41" s="29"/>
      <c r="S41" s="87" t="s">
        <v>63</v>
      </c>
      <c r="T41" s="92">
        <f>IF((C36-H34)&lt;=40,0,(C36-H34-40))</f>
        <v>0</v>
      </c>
      <c r="U41" s="92">
        <f>ROUND(T41*OvertimeRate,2)</f>
        <v>0</v>
      </c>
      <c r="V41" s="29"/>
      <c r="W41" s="29"/>
      <c r="X41" s="29"/>
      <c r="Y41" s="27"/>
      <c r="Z41" s="27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</row>
    <row r="42" spans="1:106" s="68" customFormat="1" ht="14.1" customHeight="1" x14ac:dyDescent="0.2">
      <c r="A42" s="23"/>
      <c r="B42" s="23"/>
      <c r="C42" s="284" t="s">
        <v>74</v>
      </c>
      <c r="D42" s="284"/>
      <c r="E42" s="280">
        <f>J35</f>
        <v>0</v>
      </c>
      <c r="F42" s="280"/>
      <c r="G42" s="23"/>
      <c r="H42" s="27"/>
      <c r="I42" s="153"/>
      <c r="J42" s="154" t="s">
        <v>75</v>
      </c>
      <c r="K42" s="154"/>
      <c r="L42" s="154"/>
      <c r="M42" s="155"/>
      <c r="N42" s="156">
        <f>paidOTWeek2+paidOTWeek1</f>
        <v>0</v>
      </c>
      <c r="O42" s="157"/>
      <c r="P42" s="23"/>
      <c r="Q42" s="23"/>
      <c r="R42" s="87"/>
      <c r="S42" s="27"/>
      <c r="T42" s="27"/>
      <c r="U42" s="27"/>
      <c r="V42" s="27"/>
      <c r="W42" s="87"/>
      <c r="X42" s="87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A42" s="67"/>
      <c r="DB42" s="67"/>
    </row>
    <row r="43" spans="1:106" s="68" customFormat="1" ht="14.1" customHeight="1" x14ac:dyDescent="0.2">
      <c r="A43" s="23"/>
      <c r="B43" s="23"/>
      <c r="C43" s="284"/>
      <c r="D43" s="284"/>
      <c r="E43" s="280"/>
      <c r="F43" s="280"/>
      <c r="G43" s="23"/>
      <c r="H43" s="27"/>
      <c r="I43" s="153" t="s">
        <v>76</v>
      </c>
      <c r="J43" s="158"/>
      <c r="K43" s="158"/>
      <c r="L43" s="158"/>
      <c r="M43" s="155"/>
      <c r="N43" s="156">
        <f>IF(EligibleforOvertime = "Y",T19+U20+T39+U41,0)</f>
        <v>0</v>
      </c>
      <c r="O43" s="157"/>
      <c r="P43" s="23"/>
      <c r="Q43" s="23"/>
      <c r="R43" s="87"/>
      <c r="S43" s="27"/>
      <c r="T43" s="27"/>
      <c r="U43" s="27"/>
      <c r="V43" s="27"/>
      <c r="W43" s="87"/>
      <c r="X43" s="87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A43" s="67"/>
      <c r="DB43" s="67"/>
    </row>
    <row r="44" spans="1:106" s="68" customFormat="1" ht="14.1" customHeight="1" x14ac:dyDescent="0.2">
      <c r="A44" s="23"/>
      <c r="B44" s="23"/>
      <c r="C44" s="284" t="s">
        <v>77</v>
      </c>
      <c r="D44" s="284"/>
      <c r="E44" s="280">
        <f>K35</f>
        <v>0</v>
      </c>
      <c r="F44" s="280"/>
      <c r="G44" s="23"/>
      <c r="H44" s="27"/>
      <c r="I44" s="153" t="s">
        <v>78</v>
      </c>
      <c r="J44" s="158"/>
      <c r="K44" s="158"/>
      <c r="L44" s="158"/>
      <c r="M44" s="155"/>
      <c r="N44" s="156" t="e">
        <f>SUM(N41+N43)</f>
        <v>#REF!</v>
      </c>
      <c r="O44" s="159"/>
      <c r="P44" s="23"/>
      <c r="Q44" s="23"/>
      <c r="R44" s="87"/>
      <c r="S44" s="27"/>
      <c r="T44" s="27"/>
      <c r="U44" s="27"/>
      <c r="V44" s="27"/>
      <c r="W44" s="87"/>
      <c r="X44" s="87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</row>
    <row r="45" spans="1:106" s="68" customFormat="1" ht="14.1" customHeight="1" x14ac:dyDescent="0.2">
      <c r="A45" s="23"/>
      <c r="B45" s="23"/>
      <c r="C45" s="284"/>
      <c r="D45" s="284"/>
      <c r="E45" s="280"/>
      <c r="F45" s="280"/>
      <c r="G45" s="23"/>
      <c r="H45" s="27"/>
      <c r="I45" s="153" t="s">
        <v>79</v>
      </c>
      <c r="J45" s="158"/>
      <c r="K45" s="158"/>
      <c r="L45" s="158"/>
      <c r="M45" s="155"/>
      <c r="N45" s="156">
        <f>L16+L34</f>
        <v>0</v>
      </c>
      <c r="O45" s="157"/>
      <c r="P45" s="23"/>
      <c r="Q45" s="23"/>
      <c r="R45" s="87"/>
      <c r="S45" s="27"/>
      <c r="T45" s="27"/>
      <c r="U45" s="27"/>
      <c r="V45" s="27"/>
      <c r="W45" s="87"/>
      <c r="X45" s="87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</row>
    <row r="46" spans="1:106" s="68" customFormat="1" ht="15" customHeight="1" thickBot="1" x14ac:dyDescent="0.3">
      <c r="A46" s="23"/>
      <c r="B46" s="23"/>
      <c r="C46" s="160"/>
      <c r="D46" s="160"/>
      <c r="E46" s="161"/>
      <c r="F46" s="3"/>
      <c r="G46" s="23"/>
      <c r="H46" s="27"/>
      <c r="I46" s="162" t="s">
        <v>80</v>
      </c>
      <c r="J46" s="82"/>
      <c r="K46" s="82"/>
      <c r="L46" s="82"/>
      <c r="M46" s="163"/>
      <c r="N46" s="164" t="e">
        <f>ROUND(SUM(N44-N45),2)</f>
        <v>#REF!</v>
      </c>
      <c r="O46" s="159"/>
      <c r="P46" s="23"/>
      <c r="Q46" s="23"/>
      <c r="R46" s="87"/>
      <c r="S46" s="27"/>
      <c r="T46" s="27"/>
      <c r="U46" s="27"/>
      <c r="V46" s="27"/>
      <c r="W46" s="87"/>
      <c r="X46" s="87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</row>
    <row r="47" spans="1:106" s="68" customFormat="1" ht="12" customHeight="1" x14ac:dyDescent="0.2">
      <c r="A47" s="32"/>
      <c r="B47" s="32"/>
      <c r="C47" s="284" t="s">
        <v>81</v>
      </c>
      <c r="D47" s="284"/>
      <c r="E47" s="280">
        <f>L35</f>
        <v>0</v>
      </c>
      <c r="F47" s="280"/>
      <c r="G47" s="23"/>
      <c r="H47" s="27"/>
      <c r="I47" s="32" t="s">
        <v>120</v>
      </c>
      <c r="J47" s="92"/>
      <c r="K47" s="92"/>
      <c r="L47" s="92"/>
      <c r="M47" s="92"/>
      <c r="N47" s="92"/>
      <c r="O47" s="92"/>
      <c r="P47" s="92"/>
      <c r="Q47" s="27"/>
      <c r="R47" s="87"/>
      <c r="S47" s="27"/>
      <c r="T47" s="27"/>
      <c r="U47" s="27"/>
      <c r="V47" s="27"/>
      <c r="W47" s="87"/>
      <c r="X47" s="87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</row>
    <row r="48" spans="1:106" s="68" customFormat="1" ht="9.75" customHeight="1" x14ac:dyDescent="0.2">
      <c r="A48" s="32"/>
      <c r="B48" s="32"/>
      <c r="C48" s="284"/>
      <c r="D48" s="284"/>
      <c r="E48" s="280"/>
      <c r="F48" s="280"/>
      <c r="G48" s="23"/>
      <c r="H48" s="27"/>
      <c r="I48" s="32"/>
      <c r="J48" s="92"/>
      <c r="K48" s="92"/>
      <c r="L48" s="92"/>
      <c r="M48" s="92"/>
      <c r="N48" s="92"/>
      <c r="O48" s="92"/>
      <c r="P48" s="32"/>
      <c r="Q48" s="27"/>
      <c r="R48" s="27"/>
      <c r="S48" s="27"/>
      <c r="T48" s="27"/>
      <c r="U48" s="27"/>
      <c r="V48" s="27"/>
      <c r="W48" s="87"/>
      <c r="X48" s="87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</row>
    <row r="49" spans="1:106" s="68" customFormat="1" ht="14.1" customHeight="1" thickBot="1" x14ac:dyDescent="0.25">
      <c r="A49" s="32"/>
      <c r="B49" s="32"/>
      <c r="C49" s="284" t="s">
        <v>82</v>
      </c>
      <c r="D49" s="284"/>
      <c r="E49" s="280">
        <f>N35</f>
        <v>0</v>
      </c>
      <c r="F49" s="280"/>
      <c r="G49" s="23"/>
      <c r="H49" s="165"/>
      <c r="I49" s="296" t="s">
        <v>83</v>
      </c>
      <c r="J49" s="296"/>
      <c r="K49" s="296"/>
      <c r="L49" s="296"/>
      <c r="M49" s="296"/>
      <c r="N49" s="296"/>
      <c r="O49" s="296"/>
      <c r="P49" s="296"/>
      <c r="Q49" s="32"/>
      <c r="R49" s="87"/>
      <c r="S49" s="27"/>
      <c r="T49" s="87"/>
      <c r="U49" s="87"/>
      <c r="V49" s="87"/>
      <c r="W49" s="87"/>
      <c r="X49" s="87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</row>
    <row r="50" spans="1:106" s="68" customFormat="1" ht="14.1" customHeight="1" x14ac:dyDescent="0.2">
      <c r="A50" s="32"/>
      <c r="B50" s="32"/>
      <c r="C50" s="284"/>
      <c r="D50" s="284"/>
      <c r="E50" s="280"/>
      <c r="F50" s="280"/>
      <c r="G50" s="23"/>
      <c r="H50" s="47" t="s">
        <v>84</v>
      </c>
      <c r="I50" s="296" t="s">
        <v>85</v>
      </c>
      <c r="J50" s="296"/>
      <c r="K50" s="296"/>
      <c r="L50" s="296"/>
      <c r="M50" s="296"/>
      <c r="N50" s="296"/>
      <c r="O50" s="296"/>
      <c r="P50" s="296"/>
      <c r="Q50" s="32"/>
      <c r="R50" s="87"/>
      <c r="S50" s="27"/>
      <c r="T50" s="87"/>
      <c r="U50" s="87"/>
      <c r="V50" s="87"/>
      <c r="W50" s="87"/>
      <c r="X50" s="87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</row>
    <row r="51" spans="1:106" s="68" customFormat="1" ht="5.25" customHeight="1" x14ac:dyDescent="0.2">
      <c r="A51" s="32"/>
      <c r="B51" s="32"/>
      <c r="C51" s="262"/>
      <c r="D51" s="262"/>
      <c r="E51" s="263"/>
      <c r="F51" s="147"/>
      <c r="H51" s="47"/>
      <c r="I51" s="168"/>
      <c r="J51" s="168"/>
      <c r="K51" s="168"/>
      <c r="L51" s="168"/>
      <c r="M51" s="168"/>
      <c r="N51" s="168"/>
      <c r="O51" s="168"/>
      <c r="P51" s="168"/>
      <c r="Q51" s="32"/>
      <c r="R51" s="87"/>
      <c r="S51" s="27"/>
      <c r="T51" s="87"/>
      <c r="U51" s="87"/>
      <c r="V51" s="87"/>
      <c r="W51" s="87"/>
      <c r="X51" s="87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</row>
    <row r="52" spans="1:106" s="68" customFormat="1" ht="14.1" customHeight="1" x14ac:dyDescent="0.2">
      <c r="A52" s="32"/>
      <c r="B52" s="32"/>
      <c r="C52" s="284" t="s">
        <v>102</v>
      </c>
      <c r="D52" s="284"/>
      <c r="E52" s="280">
        <f>O35</f>
        <v>0</v>
      </c>
      <c r="F52" s="280"/>
      <c r="H52" s="47"/>
      <c r="I52" s="168"/>
      <c r="J52" s="168"/>
      <c r="K52" s="168"/>
      <c r="L52" s="168"/>
      <c r="M52" s="168"/>
      <c r="N52" s="168"/>
      <c r="O52" s="168"/>
      <c r="P52" s="168"/>
      <c r="Q52" s="32"/>
      <c r="R52" s="87"/>
      <c r="S52" s="27"/>
      <c r="T52" s="87"/>
      <c r="U52" s="87"/>
      <c r="V52" s="87"/>
      <c r="W52" s="87"/>
      <c r="X52" s="87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</row>
    <row r="53" spans="1:106" s="68" customFormat="1" ht="14.1" customHeight="1" x14ac:dyDescent="0.2">
      <c r="A53" s="32"/>
      <c r="B53" s="32"/>
      <c r="C53" s="284"/>
      <c r="D53" s="284"/>
      <c r="E53" s="280"/>
      <c r="F53" s="280"/>
      <c r="H53" s="47"/>
      <c r="I53" s="168"/>
      <c r="J53" s="168"/>
      <c r="K53" s="168"/>
      <c r="L53" s="168"/>
      <c r="M53" s="168"/>
      <c r="N53" s="168"/>
      <c r="O53" s="168"/>
      <c r="P53" s="168"/>
      <c r="Q53" s="32"/>
      <c r="R53" s="87"/>
      <c r="S53" s="27"/>
      <c r="T53" s="87"/>
      <c r="U53" s="87"/>
      <c r="V53" s="87"/>
      <c r="W53" s="87"/>
      <c r="X53" s="87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</row>
    <row r="54" spans="1:106" s="68" customFormat="1" ht="8.25" customHeight="1" x14ac:dyDescent="0.2">
      <c r="A54" s="32"/>
      <c r="B54" s="32"/>
      <c r="C54" s="262"/>
      <c r="D54" s="262"/>
      <c r="E54" s="263"/>
      <c r="F54" s="147"/>
      <c r="H54" s="47"/>
      <c r="I54" s="168"/>
      <c r="J54" s="168"/>
      <c r="K54" s="168"/>
      <c r="L54" s="168"/>
      <c r="M54" s="168"/>
      <c r="N54" s="168"/>
      <c r="O54" s="168"/>
      <c r="P54" s="168"/>
      <c r="Q54" s="32"/>
      <c r="R54" s="87"/>
      <c r="S54" s="27"/>
      <c r="T54" s="87"/>
      <c r="U54" s="87"/>
      <c r="V54" s="87"/>
      <c r="W54" s="87"/>
      <c r="X54" s="87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</row>
    <row r="55" spans="1:106" s="68" customFormat="1" ht="8.25" customHeight="1" x14ac:dyDescent="0.2">
      <c r="A55" s="32"/>
      <c r="B55" s="32"/>
      <c r="C55" s="262"/>
      <c r="D55" s="297"/>
      <c r="E55" s="297"/>
      <c r="F55" s="297"/>
      <c r="G55" s="297"/>
      <c r="H55" s="297"/>
      <c r="I55" s="297"/>
      <c r="J55" s="297"/>
      <c r="K55" s="32"/>
      <c r="L55" s="32"/>
      <c r="M55" s="32"/>
      <c r="N55" s="32"/>
      <c r="O55" s="32"/>
      <c r="P55" s="32"/>
      <c r="Q55" s="32"/>
      <c r="R55" s="87"/>
      <c r="S55" s="27"/>
      <c r="T55" s="87"/>
      <c r="U55" s="87"/>
      <c r="V55" s="87"/>
      <c r="W55" s="87"/>
      <c r="X55" s="87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</row>
    <row r="56" spans="1:106" s="68" customFormat="1" ht="15" customHeight="1" thickBot="1" x14ac:dyDescent="0.3">
      <c r="A56" s="169" t="s">
        <v>95</v>
      </c>
      <c r="B56" s="32"/>
      <c r="C56" s="32"/>
      <c r="D56" s="298"/>
      <c r="E56" s="298"/>
      <c r="F56" s="298"/>
      <c r="G56" s="298"/>
      <c r="H56" s="298"/>
      <c r="I56" s="298"/>
      <c r="J56" s="298"/>
      <c r="K56" s="32"/>
      <c r="L56" s="32"/>
      <c r="M56" s="32"/>
      <c r="N56" s="32"/>
      <c r="O56" s="32"/>
      <c r="P56" s="32"/>
      <c r="Q56" s="32"/>
      <c r="R56" s="87"/>
      <c r="S56" s="27"/>
      <c r="T56" s="87"/>
      <c r="U56" s="87"/>
      <c r="V56" s="87"/>
      <c r="W56" s="87"/>
      <c r="X56" s="87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  <c r="DB56" s="67"/>
    </row>
    <row r="57" spans="1:106" s="68" customFormat="1" ht="12.75" customHeight="1" x14ac:dyDescent="0.25">
      <c r="A57" s="32"/>
      <c r="B57" s="32"/>
      <c r="C57" s="32"/>
      <c r="D57" s="265"/>
      <c r="E57" s="265"/>
      <c r="F57" s="171"/>
      <c r="G57" s="171"/>
      <c r="H57" s="47"/>
      <c r="I57" s="32"/>
      <c r="J57" s="32"/>
      <c r="K57" s="32"/>
      <c r="L57" s="32"/>
      <c r="M57" s="32"/>
      <c r="N57" s="32"/>
      <c r="O57" s="32"/>
      <c r="P57" s="32"/>
      <c r="Q57" s="32"/>
      <c r="R57" s="87"/>
      <c r="S57" s="27"/>
      <c r="T57" s="87"/>
      <c r="U57" s="87"/>
      <c r="V57" s="87"/>
      <c r="W57" s="87"/>
      <c r="X57" s="87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</row>
    <row r="58" spans="1:106" s="68" customFormat="1" ht="14.1" customHeight="1" x14ac:dyDescent="0.2">
      <c r="A58" s="32" t="s">
        <v>133</v>
      </c>
      <c r="B58" s="32"/>
      <c r="C58" s="32"/>
      <c r="D58" s="32"/>
      <c r="E58" s="32"/>
      <c r="F58" s="32"/>
      <c r="G58" s="27"/>
      <c r="H58" s="27"/>
      <c r="J58" s="32"/>
      <c r="K58" s="32"/>
      <c r="L58" s="32"/>
      <c r="M58" s="32"/>
      <c r="N58" s="32"/>
      <c r="O58" s="32"/>
      <c r="P58" s="32"/>
      <c r="Q58" s="32"/>
      <c r="R58" s="87"/>
      <c r="S58" s="27"/>
      <c r="T58" s="87"/>
      <c r="U58" s="87"/>
      <c r="V58" s="87"/>
      <c r="W58" s="87"/>
      <c r="X58" s="87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</row>
    <row r="59" spans="1:106" s="68" customFormat="1" ht="14.1" customHeight="1" x14ac:dyDescent="0.2">
      <c r="A59" s="67" t="s">
        <v>131</v>
      </c>
      <c r="B59" s="67"/>
      <c r="C59" s="172"/>
      <c r="D59" s="172"/>
      <c r="E59" s="172"/>
      <c r="F59" s="172"/>
      <c r="G59" s="138"/>
      <c r="H59" s="27"/>
      <c r="I59" s="32"/>
      <c r="J59" s="32"/>
      <c r="K59" s="32"/>
      <c r="L59" s="32"/>
      <c r="M59" s="32"/>
      <c r="N59" s="32"/>
      <c r="O59" s="32"/>
      <c r="P59" s="138"/>
      <c r="Q59" s="67"/>
      <c r="R59" s="67"/>
      <c r="S59" s="173"/>
      <c r="T59" s="173"/>
      <c r="U59" s="173"/>
      <c r="V59" s="173"/>
      <c r="W59" s="173"/>
      <c r="X59" s="173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</row>
    <row r="60" spans="1:106" s="68" customFormat="1" ht="14.1" customHeight="1" x14ac:dyDescent="0.2">
      <c r="A60" s="67" t="s">
        <v>132</v>
      </c>
      <c r="B60" s="67"/>
      <c r="C60" s="172"/>
      <c r="D60" s="172"/>
      <c r="E60" s="172"/>
      <c r="F60" s="172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67"/>
      <c r="R60" s="67"/>
      <c r="S60" s="173"/>
      <c r="T60" s="173"/>
      <c r="U60" s="173"/>
      <c r="V60" s="173"/>
      <c r="W60" s="173"/>
      <c r="X60" s="173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</row>
    <row r="61" spans="1:106" s="68" customFormat="1" ht="14.25" customHeight="1" x14ac:dyDescent="0.2">
      <c r="A61" s="67"/>
      <c r="B61" s="67"/>
      <c r="C61" s="172"/>
      <c r="D61" s="172"/>
      <c r="E61" s="2"/>
      <c r="F61" s="172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67"/>
      <c r="R61" s="67"/>
      <c r="S61" s="173"/>
      <c r="T61" s="173"/>
      <c r="U61" s="173"/>
      <c r="V61" s="173"/>
      <c r="W61" s="173"/>
      <c r="X61" s="173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</row>
    <row r="62" spans="1:106" s="68" customFormat="1" ht="13.5" thickBot="1" x14ac:dyDescent="0.25">
      <c r="A62" s="67"/>
      <c r="B62" s="67"/>
      <c r="C62" s="67"/>
      <c r="D62" s="295" t="s">
        <v>86</v>
      </c>
      <c r="E62" s="295"/>
      <c r="F62" s="295"/>
      <c r="G62" s="295"/>
      <c r="H62" s="174"/>
      <c r="I62" s="174"/>
      <c r="J62" s="174"/>
      <c r="K62" s="175"/>
      <c r="L62" s="175"/>
      <c r="M62" s="175"/>
      <c r="N62" s="176"/>
      <c r="O62" s="176"/>
      <c r="P62" s="177"/>
      <c r="Q62" s="177"/>
      <c r="R62" s="67"/>
      <c r="S62" s="173"/>
      <c r="T62" s="173"/>
      <c r="U62" s="173"/>
      <c r="V62" s="173"/>
      <c r="W62" s="173"/>
      <c r="X62" s="173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</row>
    <row r="63" spans="1:106" s="68" customFormat="1" ht="19.5" customHeight="1" x14ac:dyDescent="0.2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178"/>
      <c r="O63" s="178"/>
      <c r="P63" s="178"/>
      <c r="Q63" s="177"/>
      <c r="R63" s="67"/>
      <c r="S63" s="173"/>
      <c r="T63" s="173"/>
      <c r="U63" s="173"/>
      <c r="V63" s="173"/>
      <c r="W63" s="173"/>
      <c r="X63" s="173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</row>
    <row r="64" spans="1:106" s="68" customFormat="1" ht="13.5" thickBot="1" x14ac:dyDescent="0.25">
      <c r="B64" s="67"/>
      <c r="C64" s="67"/>
      <c r="D64" s="295" t="s">
        <v>87</v>
      </c>
      <c r="E64" s="295"/>
      <c r="F64" s="295"/>
      <c r="G64" s="295"/>
      <c r="H64" s="175"/>
      <c r="I64" s="175"/>
      <c r="J64" s="175"/>
      <c r="K64" s="175"/>
      <c r="L64" s="175"/>
      <c r="M64" s="175"/>
      <c r="N64" s="176"/>
      <c r="O64" s="176"/>
      <c r="P64" s="178"/>
      <c r="Q64" s="177"/>
      <c r="R64" s="67"/>
      <c r="S64" s="173"/>
      <c r="T64" s="173"/>
      <c r="U64" s="173"/>
      <c r="V64" s="173"/>
      <c r="W64" s="173"/>
      <c r="X64" s="173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</row>
    <row r="65" spans="1:106" s="68" customFormat="1" x14ac:dyDescent="0.2">
      <c r="A65" s="31"/>
      <c r="B65" s="31"/>
      <c r="C65" s="179"/>
      <c r="D65" s="179"/>
      <c r="E65" s="180"/>
      <c r="F65" s="180"/>
      <c r="G65" s="178"/>
      <c r="H65" s="178"/>
      <c r="I65" s="178"/>
      <c r="J65" s="178"/>
      <c r="K65" s="181"/>
      <c r="L65" s="178"/>
      <c r="M65" s="178"/>
      <c r="N65" s="178"/>
      <c r="O65" s="178"/>
      <c r="P65" s="177"/>
      <c r="Q65" s="177"/>
      <c r="R65" s="31"/>
      <c r="S65" s="173"/>
      <c r="T65" s="173"/>
      <c r="U65" s="173"/>
      <c r="V65" s="173"/>
      <c r="W65" s="173"/>
      <c r="X65" s="173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</row>
    <row r="66" spans="1:106" s="68" customFormat="1" x14ac:dyDescent="0.2">
      <c r="A66" s="31"/>
      <c r="B66" s="31"/>
      <c r="C66" s="179"/>
      <c r="D66" s="179"/>
      <c r="E66" s="179"/>
      <c r="F66" s="179"/>
      <c r="G66" s="181"/>
      <c r="H66" s="181"/>
      <c r="I66" s="181"/>
      <c r="J66" s="181"/>
      <c r="K66" s="181"/>
      <c r="L66" s="181"/>
      <c r="M66" s="181"/>
      <c r="N66" s="181"/>
      <c r="O66" s="181"/>
      <c r="P66" s="31"/>
      <c r="Q66" s="31"/>
      <c r="R66" s="31"/>
      <c r="S66" s="173"/>
      <c r="T66" s="173"/>
      <c r="U66" s="173"/>
      <c r="V66" s="173"/>
      <c r="W66" s="173"/>
      <c r="X66" s="173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</row>
    <row r="67" spans="1:106" s="68" customFormat="1" x14ac:dyDescent="0.2">
      <c r="A67" s="31"/>
      <c r="B67" s="181"/>
      <c r="C67" s="179"/>
      <c r="D67" s="179"/>
      <c r="E67" s="179"/>
      <c r="F67" s="179"/>
      <c r="G67" s="181"/>
      <c r="H67" s="181"/>
      <c r="I67" s="181"/>
      <c r="J67" s="181"/>
      <c r="K67" s="181"/>
      <c r="L67" s="181"/>
      <c r="M67" s="181"/>
      <c r="N67" s="181"/>
      <c r="O67" s="181"/>
      <c r="P67" s="31"/>
      <c r="Q67" s="31"/>
      <c r="R67" s="31"/>
      <c r="S67" s="173"/>
      <c r="T67" s="173"/>
      <c r="U67" s="173"/>
      <c r="V67" s="173"/>
      <c r="W67" s="173"/>
      <c r="X67" s="173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</row>
    <row r="68" spans="1:106" s="68" customFormat="1" x14ac:dyDescent="0.2">
      <c r="A68" s="31"/>
      <c r="B68" s="181"/>
      <c r="C68" s="179"/>
      <c r="D68" s="179"/>
      <c r="E68" s="179"/>
      <c r="F68" s="179"/>
      <c r="G68" s="181"/>
      <c r="H68" s="181"/>
      <c r="I68" s="181"/>
      <c r="J68" s="181"/>
      <c r="K68" s="181"/>
      <c r="L68" s="181"/>
      <c r="M68" s="181"/>
      <c r="N68" s="181"/>
      <c r="O68" s="181"/>
      <c r="P68" s="31"/>
      <c r="Q68" s="31"/>
      <c r="R68" s="31"/>
      <c r="S68" s="173"/>
      <c r="T68" s="173"/>
      <c r="U68" s="173"/>
      <c r="V68" s="173"/>
      <c r="W68" s="173"/>
      <c r="X68" s="173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</row>
    <row r="69" spans="1:106" s="68" customFormat="1" x14ac:dyDescent="0.2">
      <c r="A69" s="31"/>
      <c r="B69" s="31"/>
      <c r="C69" s="179"/>
      <c r="D69" s="179"/>
      <c r="E69" s="179"/>
      <c r="F69" s="179"/>
      <c r="G69" s="181"/>
      <c r="H69" s="181"/>
      <c r="I69" s="181"/>
      <c r="J69" s="181"/>
      <c r="K69" s="181"/>
      <c r="L69" s="181"/>
      <c r="M69" s="181"/>
      <c r="N69" s="181"/>
      <c r="O69" s="181"/>
      <c r="P69" s="31"/>
      <c r="Q69" s="31"/>
      <c r="R69" s="31"/>
      <c r="S69" s="173"/>
      <c r="T69" s="173"/>
      <c r="U69" s="173"/>
      <c r="V69" s="173"/>
      <c r="W69" s="173"/>
      <c r="X69" s="173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</row>
    <row r="70" spans="1:106" s="68" customFormat="1" x14ac:dyDescent="0.2">
      <c r="A70" s="31"/>
      <c r="B70" s="31"/>
      <c r="C70" s="179"/>
      <c r="D70" s="179"/>
      <c r="E70" s="179"/>
      <c r="F70" s="179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31"/>
      <c r="R70" s="172"/>
      <c r="S70" s="173"/>
      <c r="T70" s="173"/>
      <c r="U70" s="173"/>
      <c r="V70" s="173"/>
      <c r="W70" s="173"/>
      <c r="X70" s="173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</row>
    <row r="71" spans="1:106" s="68" customFormat="1" x14ac:dyDescent="0.2">
      <c r="A71" s="31"/>
      <c r="B71" s="31"/>
      <c r="C71" s="179"/>
      <c r="D71" s="179"/>
      <c r="E71" s="179"/>
      <c r="F71" s="179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67"/>
      <c r="R71" s="172"/>
      <c r="S71" s="173"/>
      <c r="T71" s="173"/>
      <c r="U71" s="173"/>
      <c r="V71" s="173"/>
      <c r="W71" s="173"/>
      <c r="X71" s="173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</row>
    <row r="72" spans="1:106" s="68" customFormat="1" x14ac:dyDescent="0.2">
      <c r="A72" s="31"/>
      <c r="B72" s="31"/>
      <c r="C72" s="179"/>
      <c r="D72" s="179"/>
      <c r="E72" s="179"/>
      <c r="F72" s="179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67"/>
      <c r="R72" s="172"/>
      <c r="S72" s="173"/>
      <c r="T72" s="173"/>
      <c r="U72" s="173"/>
      <c r="V72" s="173"/>
      <c r="W72" s="173"/>
      <c r="X72" s="173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</row>
    <row r="73" spans="1:106" s="68" customFormat="1" x14ac:dyDescent="0.2">
      <c r="A73" s="31"/>
      <c r="B73" s="31"/>
      <c r="C73" s="179"/>
      <c r="D73" s="179"/>
      <c r="E73" s="179"/>
      <c r="F73" s="179"/>
      <c r="G73" s="181"/>
      <c r="H73" s="181"/>
      <c r="I73" s="181"/>
      <c r="J73" s="181"/>
      <c r="K73" s="181"/>
      <c r="L73" s="181"/>
      <c r="M73" s="181"/>
      <c r="N73" s="181"/>
      <c r="O73" s="181"/>
      <c r="P73" s="178"/>
      <c r="Q73" s="67"/>
      <c r="R73" s="172"/>
      <c r="S73" s="173"/>
      <c r="T73" s="173"/>
      <c r="U73" s="173"/>
      <c r="V73" s="173"/>
      <c r="W73" s="173"/>
      <c r="X73" s="173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</row>
    <row r="74" spans="1:106" s="68" customFormat="1" x14ac:dyDescent="0.2">
      <c r="A74" s="31"/>
      <c r="B74" s="31"/>
      <c r="C74" s="179"/>
      <c r="D74" s="179"/>
      <c r="E74" s="179"/>
      <c r="F74" s="179"/>
      <c r="G74" s="181"/>
      <c r="H74" s="181"/>
      <c r="I74" s="181"/>
      <c r="J74" s="181"/>
      <c r="K74" s="181"/>
      <c r="L74" s="181"/>
      <c r="M74" s="181"/>
      <c r="N74" s="181"/>
      <c r="O74" s="181"/>
      <c r="P74" s="178"/>
      <c r="Q74" s="67"/>
      <c r="R74" s="67"/>
      <c r="S74" s="173"/>
      <c r="T74" s="173"/>
      <c r="U74" s="173"/>
      <c r="V74" s="173"/>
      <c r="W74" s="173"/>
      <c r="X74" s="173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</row>
    <row r="75" spans="1:106" s="68" customFormat="1" x14ac:dyDescent="0.2">
      <c r="A75" s="31"/>
      <c r="B75" s="31"/>
      <c r="C75" s="179"/>
      <c r="D75" s="179"/>
      <c r="E75" s="179"/>
      <c r="F75" s="179"/>
      <c r="G75" s="181"/>
      <c r="H75" s="181"/>
      <c r="I75" s="181"/>
      <c r="J75" s="181"/>
      <c r="K75" s="181"/>
      <c r="L75" s="181"/>
      <c r="M75" s="181"/>
      <c r="N75" s="181"/>
      <c r="O75" s="181"/>
      <c r="P75" s="178"/>
      <c r="Q75" s="67"/>
      <c r="R75" s="172"/>
      <c r="S75" s="173"/>
      <c r="T75" s="173"/>
      <c r="U75" s="173"/>
      <c r="V75" s="173"/>
      <c r="W75" s="173"/>
      <c r="X75" s="173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</row>
    <row r="76" spans="1:106" s="68" customFormat="1" x14ac:dyDescent="0.2">
      <c r="A76" s="31"/>
      <c r="B76" s="31"/>
      <c r="C76" s="179"/>
      <c r="D76" s="179"/>
      <c r="E76" s="179"/>
      <c r="F76" s="179"/>
      <c r="G76" s="181"/>
      <c r="H76" s="181"/>
      <c r="I76" s="181"/>
      <c r="J76" s="181"/>
      <c r="K76" s="181"/>
      <c r="L76" s="181"/>
      <c r="M76" s="181"/>
      <c r="N76" s="181"/>
      <c r="O76" s="181"/>
      <c r="P76" s="178"/>
      <c r="Q76" s="177"/>
      <c r="R76" s="172"/>
      <c r="S76" s="173"/>
      <c r="T76" s="173"/>
      <c r="U76" s="173"/>
      <c r="V76" s="173"/>
      <c r="W76" s="173"/>
      <c r="X76" s="173"/>
      <c r="Y76" s="138"/>
      <c r="Z76" s="138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</row>
    <row r="77" spans="1:106" s="68" customFormat="1" x14ac:dyDescent="0.2">
      <c r="A77" s="31"/>
      <c r="B77" s="31"/>
      <c r="C77" s="179"/>
      <c r="D77" s="179"/>
      <c r="E77" s="179"/>
      <c r="F77" s="179"/>
      <c r="G77" s="181"/>
      <c r="H77" s="181"/>
      <c r="I77" s="181"/>
      <c r="J77" s="181"/>
      <c r="K77" s="181"/>
      <c r="L77" s="181"/>
      <c r="M77" s="181"/>
      <c r="N77" s="181"/>
      <c r="O77" s="181"/>
      <c r="P77" s="178"/>
      <c r="Q77" s="177"/>
      <c r="R77" s="31"/>
      <c r="S77" s="173"/>
      <c r="T77" s="173"/>
      <c r="U77" s="173"/>
      <c r="V77" s="173"/>
      <c r="W77" s="173"/>
      <c r="X77" s="173"/>
      <c r="Y77" s="138"/>
      <c r="Z77" s="138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</row>
    <row r="78" spans="1:106" s="68" customFormat="1" x14ac:dyDescent="0.2">
      <c r="A78" s="31"/>
      <c r="B78" s="31"/>
      <c r="C78" s="179"/>
      <c r="D78" s="179"/>
      <c r="E78" s="179"/>
      <c r="F78" s="179"/>
      <c r="G78" s="181"/>
      <c r="H78" s="181"/>
      <c r="I78" s="181"/>
      <c r="J78" s="181"/>
      <c r="K78" s="181"/>
      <c r="L78" s="181"/>
      <c r="M78" s="181"/>
      <c r="N78" s="181"/>
      <c r="O78" s="181"/>
      <c r="P78" s="178"/>
      <c r="Q78" s="177"/>
      <c r="R78" s="31"/>
      <c r="S78" s="173"/>
      <c r="T78" s="182"/>
      <c r="U78" s="182"/>
      <c r="V78" s="182"/>
      <c r="W78" s="173"/>
      <c r="X78" s="173"/>
      <c r="Y78" s="138"/>
      <c r="Z78" s="138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</row>
    <row r="79" spans="1:106" s="68" customFormat="1" x14ac:dyDescent="0.2">
      <c r="A79" s="31"/>
      <c r="B79" s="31"/>
      <c r="C79" s="179"/>
      <c r="D79" s="179"/>
      <c r="E79" s="179"/>
      <c r="F79" s="179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31"/>
      <c r="R79" s="31"/>
      <c r="S79" s="173"/>
      <c r="T79" s="182"/>
      <c r="U79" s="182"/>
      <c r="V79" s="182"/>
      <c r="W79" s="173"/>
      <c r="X79" s="173"/>
      <c r="Y79" s="138"/>
      <c r="Z79" s="138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</row>
    <row r="80" spans="1:106" x14ac:dyDescent="0.2">
      <c r="A80" s="31"/>
      <c r="B80" s="31"/>
      <c r="C80" s="179"/>
      <c r="D80" s="179"/>
      <c r="E80" s="179"/>
      <c r="F80" s="179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31"/>
      <c r="R80" s="31"/>
      <c r="S80" s="173"/>
      <c r="T80" s="182"/>
      <c r="U80" s="182"/>
      <c r="V80" s="182"/>
      <c r="W80" s="173"/>
      <c r="X80" s="173"/>
      <c r="Y80" s="138"/>
      <c r="Z80" s="138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</row>
    <row r="81" spans="1:106" x14ac:dyDescent="0.2">
      <c r="A81" s="31"/>
      <c r="B81" s="31"/>
      <c r="C81" s="179"/>
      <c r="D81" s="179"/>
      <c r="E81" s="179"/>
      <c r="F81" s="179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31"/>
      <c r="R81" s="31"/>
      <c r="S81" s="173"/>
      <c r="T81" s="182"/>
      <c r="U81" s="182"/>
      <c r="V81" s="182"/>
      <c r="W81" s="173"/>
      <c r="X81" s="173"/>
      <c r="Y81" s="138"/>
      <c r="Z81" s="138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</row>
    <row r="82" spans="1:106" x14ac:dyDescent="0.2">
      <c r="A82" s="31"/>
      <c r="B82" s="31"/>
      <c r="C82" s="179"/>
      <c r="D82" s="179"/>
      <c r="E82" s="179"/>
      <c r="F82" s="179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31"/>
      <c r="R82" s="31"/>
      <c r="S82" s="173"/>
      <c r="T82" s="182"/>
      <c r="U82" s="182"/>
      <c r="V82" s="182"/>
      <c r="W82" s="173"/>
      <c r="X82" s="173"/>
      <c r="Y82" s="138"/>
      <c r="Z82" s="138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</row>
    <row r="83" spans="1:106" x14ac:dyDescent="0.2">
      <c r="A83" s="31"/>
      <c r="B83" s="31"/>
      <c r="C83" s="179"/>
      <c r="D83" s="179"/>
      <c r="E83" s="179"/>
      <c r="F83" s="179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31"/>
      <c r="R83" s="31"/>
      <c r="S83" s="173"/>
      <c r="T83" s="182"/>
      <c r="U83" s="182"/>
      <c r="V83" s="182"/>
      <c r="W83" s="173"/>
      <c r="X83" s="173"/>
      <c r="Y83" s="138"/>
      <c r="Z83" s="138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</row>
    <row r="84" spans="1:106" x14ac:dyDescent="0.2">
      <c r="A84" s="31"/>
      <c r="B84" s="31"/>
      <c r="C84" s="179"/>
      <c r="D84" s="179"/>
      <c r="E84" s="179"/>
      <c r="F84" s="179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31"/>
      <c r="R84" s="31"/>
      <c r="S84" s="173"/>
      <c r="T84" s="182"/>
      <c r="U84" s="182"/>
      <c r="V84" s="182"/>
      <c r="W84" s="173"/>
      <c r="X84" s="173"/>
      <c r="Y84" s="138"/>
      <c r="Z84" s="138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</row>
    <row r="85" spans="1:106" x14ac:dyDescent="0.2">
      <c r="A85" s="31"/>
      <c r="B85" s="31"/>
      <c r="C85" s="179"/>
      <c r="D85" s="179"/>
      <c r="E85" s="179"/>
      <c r="F85" s="179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31"/>
      <c r="R85" s="31"/>
      <c r="S85" s="173"/>
      <c r="T85" s="182"/>
      <c r="U85" s="182"/>
      <c r="V85" s="182"/>
      <c r="W85" s="173"/>
      <c r="X85" s="173"/>
      <c r="Y85" s="138"/>
      <c r="Z85" s="138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</row>
    <row r="86" spans="1:106" x14ac:dyDescent="0.2">
      <c r="A86" s="31"/>
      <c r="B86" s="31"/>
      <c r="C86" s="179"/>
      <c r="D86" s="179"/>
      <c r="E86" s="179"/>
      <c r="F86" s="179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31"/>
      <c r="R86" s="172"/>
      <c r="S86" s="173"/>
      <c r="T86" s="173"/>
      <c r="U86" s="173"/>
      <c r="V86" s="173"/>
      <c r="W86" s="173"/>
      <c r="X86" s="173"/>
      <c r="Y86" s="138"/>
      <c r="Z86" s="138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</row>
    <row r="87" spans="1:106" x14ac:dyDescent="0.2">
      <c r="A87" s="31"/>
      <c r="B87" s="31"/>
      <c r="C87" s="179"/>
      <c r="D87" s="179"/>
      <c r="E87" s="179"/>
      <c r="F87" s="179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31"/>
      <c r="R87" s="172"/>
      <c r="S87" s="173"/>
      <c r="T87" s="173"/>
      <c r="U87" s="173"/>
      <c r="V87" s="173"/>
      <c r="W87" s="173"/>
      <c r="X87" s="173"/>
      <c r="Y87" s="138"/>
      <c r="Z87" s="138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</row>
    <row r="88" spans="1:106" x14ac:dyDescent="0.2">
      <c r="A88" s="31"/>
      <c r="B88" s="31"/>
      <c r="C88" s="179"/>
      <c r="D88" s="179"/>
      <c r="E88" s="179"/>
      <c r="F88" s="179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77"/>
      <c r="R88" s="172"/>
      <c r="S88" s="173"/>
      <c r="T88" s="173"/>
      <c r="U88" s="173"/>
      <c r="V88" s="173"/>
      <c r="W88" s="173"/>
      <c r="X88" s="173"/>
      <c r="Y88" s="138"/>
      <c r="Z88" s="138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</row>
    <row r="89" spans="1:106" x14ac:dyDescent="0.2">
      <c r="A89" s="31"/>
      <c r="B89" s="31"/>
      <c r="C89" s="179"/>
      <c r="D89" s="179"/>
      <c r="E89" s="179"/>
      <c r="F89" s="179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77"/>
      <c r="R89" s="172"/>
      <c r="S89" s="173"/>
      <c r="T89" s="173"/>
      <c r="U89" s="173"/>
      <c r="V89" s="173"/>
      <c r="W89" s="173"/>
      <c r="X89" s="173"/>
      <c r="Y89" s="138"/>
      <c r="Z89" s="138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</row>
    <row r="90" spans="1:106" x14ac:dyDescent="0.2">
      <c r="A90" s="31"/>
      <c r="B90" s="31"/>
      <c r="C90" s="179"/>
      <c r="D90" s="179"/>
      <c r="E90" s="179"/>
      <c r="F90" s="179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77"/>
      <c r="R90" s="172"/>
      <c r="S90" s="173"/>
      <c r="T90" s="173"/>
      <c r="U90" s="173"/>
      <c r="V90" s="173"/>
      <c r="W90" s="173"/>
      <c r="X90" s="173"/>
      <c r="Y90" s="138"/>
      <c r="Z90" s="138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</row>
    <row r="91" spans="1:106" x14ac:dyDescent="0.2">
      <c r="A91" s="31"/>
      <c r="B91" s="31"/>
      <c r="C91" s="179"/>
      <c r="D91" s="179"/>
      <c r="E91" s="179"/>
      <c r="F91" s="179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31"/>
      <c r="R91" s="179"/>
      <c r="S91" s="173"/>
      <c r="T91" s="173"/>
      <c r="U91" s="173"/>
      <c r="V91" s="173"/>
      <c r="W91" s="173"/>
      <c r="X91" s="173"/>
      <c r="Y91" s="138"/>
      <c r="Z91" s="138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</row>
    <row r="92" spans="1:106" x14ac:dyDescent="0.2">
      <c r="A92" s="31"/>
      <c r="B92" s="31"/>
      <c r="C92" s="179"/>
      <c r="D92" s="179"/>
      <c r="E92" s="179"/>
      <c r="F92" s="179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31"/>
      <c r="R92" s="179"/>
      <c r="S92" s="182"/>
      <c r="T92" s="182"/>
      <c r="U92" s="182"/>
      <c r="V92" s="182"/>
      <c r="W92" s="182"/>
      <c r="X92" s="182"/>
      <c r="Y92" s="181"/>
      <c r="Z92" s="18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</row>
    <row r="93" spans="1:106" x14ac:dyDescent="0.2">
      <c r="A93" s="31"/>
      <c r="B93" s="31"/>
      <c r="C93" s="179"/>
      <c r="D93" s="179"/>
      <c r="E93" s="179"/>
      <c r="F93" s="179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31"/>
      <c r="R93" s="179"/>
      <c r="S93" s="182"/>
      <c r="T93" s="182"/>
      <c r="U93" s="182"/>
      <c r="V93" s="182"/>
      <c r="W93" s="182"/>
      <c r="X93" s="182"/>
      <c r="Y93" s="181"/>
      <c r="Z93" s="18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</row>
    <row r="94" spans="1:106" x14ac:dyDescent="0.2">
      <c r="A94" s="31"/>
      <c r="B94" s="31"/>
      <c r="C94" s="179"/>
      <c r="D94" s="179"/>
      <c r="E94" s="179"/>
      <c r="F94" s="179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31"/>
      <c r="R94" s="179"/>
      <c r="S94" s="182"/>
      <c r="T94" s="182"/>
      <c r="U94" s="182"/>
      <c r="V94" s="182"/>
      <c r="W94" s="182"/>
      <c r="X94" s="182"/>
      <c r="Y94" s="181"/>
      <c r="Z94" s="18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</row>
    <row r="95" spans="1:106" x14ac:dyDescent="0.2">
      <c r="A95" s="31"/>
      <c r="B95" s="31"/>
      <c r="C95" s="179"/>
      <c r="D95" s="179"/>
      <c r="E95" s="179"/>
      <c r="F95" s="179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31"/>
      <c r="R95" s="179"/>
      <c r="S95" s="182"/>
      <c r="T95" s="182"/>
      <c r="U95" s="182"/>
      <c r="V95" s="182"/>
      <c r="W95" s="182"/>
      <c r="X95" s="182"/>
      <c r="Y95" s="181"/>
      <c r="Z95" s="18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</row>
    <row r="96" spans="1:106" x14ac:dyDescent="0.2">
      <c r="A96" s="31"/>
      <c r="B96" s="31"/>
      <c r="C96" s="179"/>
      <c r="D96" s="179"/>
      <c r="E96" s="179"/>
      <c r="F96" s="179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31"/>
      <c r="R96" s="179"/>
      <c r="S96" s="182"/>
      <c r="T96" s="182"/>
      <c r="U96" s="182"/>
      <c r="V96" s="182"/>
      <c r="W96" s="182"/>
      <c r="X96" s="182"/>
      <c r="Y96" s="181"/>
      <c r="Z96" s="18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</row>
    <row r="97" spans="1:106" x14ac:dyDescent="0.2">
      <c r="A97" s="31"/>
      <c r="B97" s="31"/>
      <c r="C97" s="179"/>
      <c r="D97" s="179"/>
      <c r="E97" s="179"/>
      <c r="F97" s="179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31"/>
      <c r="R97" s="179"/>
      <c r="S97" s="182"/>
      <c r="T97" s="182"/>
      <c r="U97" s="182"/>
      <c r="V97" s="182"/>
      <c r="W97" s="182"/>
      <c r="X97" s="182"/>
      <c r="Y97" s="181"/>
      <c r="Z97" s="18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</row>
    <row r="98" spans="1:106" x14ac:dyDescent="0.2">
      <c r="A98" s="31"/>
      <c r="B98" s="31"/>
      <c r="C98" s="179"/>
      <c r="D98" s="179"/>
      <c r="E98" s="179"/>
      <c r="F98" s="179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31"/>
      <c r="R98" s="179"/>
      <c r="S98" s="182"/>
      <c r="T98" s="182"/>
      <c r="U98" s="182"/>
      <c r="V98" s="182"/>
      <c r="W98" s="182"/>
      <c r="X98" s="182"/>
      <c r="Y98" s="181"/>
      <c r="Z98" s="18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</row>
    <row r="99" spans="1:106" x14ac:dyDescent="0.2">
      <c r="A99" s="31"/>
      <c r="B99" s="31"/>
      <c r="C99" s="179"/>
      <c r="D99" s="179"/>
      <c r="E99" s="179"/>
      <c r="F99" s="179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31"/>
      <c r="R99" s="179"/>
      <c r="S99" s="182"/>
      <c r="T99" s="182"/>
      <c r="U99" s="182"/>
      <c r="V99" s="182"/>
      <c r="W99" s="182"/>
      <c r="X99" s="182"/>
      <c r="Y99" s="181"/>
      <c r="Z99" s="18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</row>
    <row r="100" spans="1:106" x14ac:dyDescent="0.2">
      <c r="A100" s="31"/>
      <c r="B100" s="31"/>
      <c r="C100" s="179"/>
      <c r="D100" s="179"/>
      <c r="E100" s="179"/>
      <c r="F100" s="179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31"/>
      <c r="R100" s="179"/>
      <c r="S100" s="182"/>
      <c r="T100" s="182"/>
      <c r="U100" s="182"/>
      <c r="V100" s="182"/>
      <c r="W100" s="182"/>
      <c r="X100" s="182"/>
      <c r="Y100" s="181"/>
      <c r="Z100" s="18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</row>
    <row r="101" spans="1:106" x14ac:dyDescent="0.2">
      <c r="A101" s="31"/>
      <c r="B101" s="31"/>
      <c r="C101" s="179"/>
      <c r="D101" s="179"/>
      <c r="E101" s="179"/>
      <c r="F101" s="179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31"/>
      <c r="R101" s="179"/>
      <c r="S101" s="182"/>
      <c r="T101" s="182"/>
      <c r="U101" s="182"/>
      <c r="V101" s="182"/>
      <c r="W101" s="182"/>
      <c r="X101" s="182"/>
      <c r="Y101" s="181"/>
      <c r="Z101" s="18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</row>
    <row r="102" spans="1:106" x14ac:dyDescent="0.2">
      <c r="A102" s="31"/>
      <c r="B102" s="31"/>
      <c r="C102" s="179"/>
      <c r="D102" s="179"/>
      <c r="E102" s="179"/>
      <c r="F102" s="179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31"/>
      <c r="R102" s="179"/>
      <c r="S102" s="182"/>
      <c r="T102" s="182"/>
      <c r="U102" s="182"/>
      <c r="V102" s="182"/>
      <c r="W102" s="182"/>
      <c r="X102" s="182"/>
      <c r="Y102" s="181"/>
      <c r="Z102" s="18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</row>
    <row r="103" spans="1:106" x14ac:dyDescent="0.2">
      <c r="A103" s="31"/>
      <c r="B103" s="31"/>
      <c r="C103" s="179"/>
      <c r="D103" s="179"/>
      <c r="E103" s="179"/>
      <c r="F103" s="179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31"/>
      <c r="R103" s="179"/>
      <c r="S103" s="182"/>
      <c r="T103" s="182"/>
      <c r="U103" s="182"/>
      <c r="V103" s="182"/>
      <c r="W103" s="182"/>
      <c r="X103" s="182"/>
      <c r="Y103" s="181"/>
      <c r="Z103" s="18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</row>
    <row r="104" spans="1:106" x14ac:dyDescent="0.2">
      <c r="A104" s="31"/>
      <c r="B104" s="31"/>
      <c r="C104" s="179"/>
      <c r="D104" s="179"/>
      <c r="E104" s="179"/>
      <c r="F104" s="179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31"/>
      <c r="R104" s="179"/>
      <c r="S104" s="182"/>
      <c r="T104" s="182"/>
      <c r="U104" s="182"/>
      <c r="V104" s="182"/>
      <c r="W104" s="182"/>
      <c r="X104" s="182"/>
      <c r="Y104" s="181"/>
      <c r="Z104" s="18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</row>
    <row r="105" spans="1:106" x14ac:dyDescent="0.2">
      <c r="A105" s="31"/>
      <c r="B105" s="31"/>
      <c r="C105" s="179"/>
      <c r="D105" s="179"/>
      <c r="E105" s="179"/>
      <c r="F105" s="179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31"/>
      <c r="R105" s="179"/>
      <c r="S105" s="182"/>
      <c r="T105" s="182"/>
      <c r="U105" s="182"/>
      <c r="V105" s="182"/>
      <c r="W105" s="182"/>
      <c r="X105" s="182"/>
      <c r="Y105" s="181"/>
      <c r="Z105" s="18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</row>
    <row r="106" spans="1:106" x14ac:dyDescent="0.2">
      <c r="A106" s="31"/>
      <c r="B106" s="31"/>
      <c r="C106" s="179"/>
      <c r="D106" s="179"/>
      <c r="E106" s="179"/>
      <c r="F106" s="179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31"/>
      <c r="R106" s="179"/>
      <c r="S106" s="182"/>
      <c r="T106" s="182"/>
      <c r="U106" s="182"/>
      <c r="V106" s="182"/>
      <c r="W106" s="182"/>
      <c r="X106" s="182"/>
      <c r="Y106" s="181"/>
      <c r="Z106" s="18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</row>
    <row r="107" spans="1:106" x14ac:dyDescent="0.2">
      <c r="A107" s="31"/>
      <c r="B107" s="31"/>
      <c r="C107" s="179"/>
      <c r="D107" s="179"/>
      <c r="E107" s="179"/>
      <c r="F107" s="179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31"/>
      <c r="R107" s="179"/>
      <c r="S107" s="182"/>
      <c r="T107" s="182"/>
      <c r="U107" s="182"/>
      <c r="V107" s="182"/>
      <c r="W107" s="182"/>
      <c r="X107" s="182"/>
      <c r="Y107" s="181"/>
      <c r="Z107" s="18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</row>
    <row r="108" spans="1:106" x14ac:dyDescent="0.2">
      <c r="A108" s="31"/>
      <c r="B108" s="31"/>
      <c r="C108" s="179"/>
      <c r="D108" s="179"/>
      <c r="E108" s="179"/>
      <c r="F108" s="179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31"/>
      <c r="R108" s="179"/>
      <c r="S108" s="182"/>
      <c r="T108" s="182"/>
      <c r="U108" s="182"/>
      <c r="V108" s="182"/>
      <c r="W108" s="182"/>
      <c r="X108" s="182"/>
      <c r="Y108" s="181"/>
      <c r="Z108" s="18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</row>
    <row r="109" spans="1:106" x14ac:dyDescent="0.2">
      <c r="A109" s="31"/>
      <c r="B109" s="31"/>
      <c r="C109" s="179"/>
      <c r="D109" s="179"/>
      <c r="E109" s="179"/>
      <c r="F109" s="179"/>
      <c r="G109" s="181"/>
      <c r="H109" s="181"/>
      <c r="I109" s="181"/>
      <c r="J109" s="181"/>
      <c r="K109" s="181"/>
      <c r="L109" s="181"/>
      <c r="M109" s="181"/>
      <c r="N109" s="181"/>
      <c r="O109" s="181"/>
      <c r="P109" s="181"/>
      <c r="Q109" s="31"/>
      <c r="R109" s="179"/>
      <c r="S109" s="182"/>
      <c r="T109" s="182"/>
      <c r="U109" s="182"/>
      <c r="V109" s="182"/>
      <c r="W109" s="182"/>
      <c r="X109" s="182"/>
      <c r="Y109" s="181"/>
      <c r="Z109" s="18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</row>
    <row r="110" spans="1:106" x14ac:dyDescent="0.2">
      <c r="A110" s="31"/>
      <c r="B110" s="31"/>
      <c r="C110" s="179"/>
      <c r="D110" s="179"/>
      <c r="E110" s="179"/>
      <c r="F110" s="179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  <c r="Q110" s="31"/>
      <c r="R110" s="179"/>
      <c r="S110" s="182"/>
      <c r="T110" s="182"/>
      <c r="U110" s="182"/>
      <c r="V110" s="182"/>
      <c r="W110" s="182"/>
      <c r="X110" s="182"/>
      <c r="Y110" s="181"/>
      <c r="Z110" s="18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</row>
    <row r="111" spans="1:106" x14ac:dyDescent="0.2">
      <c r="A111" s="31"/>
      <c r="B111" s="31"/>
      <c r="C111" s="179"/>
      <c r="D111" s="179"/>
      <c r="E111" s="179"/>
      <c r="F111" s="179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31"/>
      <c r="R111" s="179"/>
      <c r="S111" s="182"/>
      <c r="T111" s="182"/>
      <c r="U111" s="182"/>
      <c r="V111" s="182"/>
      <c r="W111" s="182"/>
      <c r="X111" s="182"/>
      <c r="Y111" s="181"/>
      <c r="Z111" s="18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</row>
    <row r="112" spans="1:106" x14ac:dyDescent="0.2">
      <c r="A112" s="31"/>
      <c r="B112" s="31"/>
      <c r="C112" s="179"/>
      <c r="D112" s="179"/>
      <c r="E112" s="179"/>
      <c r="F112" s="179"/>
      <c r="G112" s="181"/>
      <c r="H112" s="181"/>
      <c r="I112" s="181"/>
      <c r="J112" s="181"/>
      <c r="K112" s="181"/>
      <c r="L112" s="181"/>
      <c r="M112" s="181"/>
      <c r="N112" s="181"/>
      <c r="O112" s="181"/>
      <c r="P112" s="181"/>
      <c r="Q112" s="31"/>
      <c r="R112" s="179"/>
      <c r="S112" s="182"/>
      <c r="T112" s="182"/>
      <c r="U112" s="182"/>
      <c r="V112" s="182"/>
      <c r="W112" s="182"/>
      <c r="X112" s="182"/>
      <c r="Y112" s="181"/>
      <c r="Z112" s="18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</row>
    <row r="113" spans="1:106" x14ac:dyDescent="0.2">
      <c r="A113" s="31"/>
      <c r="B113" s="31"/>
      <c r="C113" s="179"/>
      <c r="D113" s="179"/>
      <c r="E113" s="179"/>
      <c r="F113" s="179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31"/>
      <c r="R113" s="179"/>
      <c r="S113" s="182"/>
      <c r="T113" s="182"/>
      <c r="U113" s="182"/>
      <c r="V113" s="182"/>
      <c r="W113" s="182"/>
      <c r="X113" s="182"/>
      <c r="Y113" s="181"/>
      <c r="Z113" s="18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</row>
    <row r="114" spans="1:106" x14ac:dyDescent="0.2">
      <c r="A114" s="31"/>
      <c r="B114" s="31"/>
      <c r="C114" s="179"/>
      <c r="D114" s="179"/>
      <c r="E114" s="179"/>
      <c r="F114" s="179"/>
      <c r="G114" s="181"/>
      <c r="H114" s="181"/>
      <c r="I114" s="181"/>
      <c r="J114" s="181"/>
      <c r="K114" s="181"/>
      <c r="L114" s="181"/>
      <c r="M114" s="181"/>
      <c r="N114" s="181"/>
      <c r="O114" s="181"/>
      <c r="P114" s="181"/>
      <c r="Q114" s="31"/>
      <c r="R114" s="179"/>
      <c r="S114" s="182"/>
      <c r="T114" s="182"/>
      <c r="U114" s="182"/>
      <c r="V114" s="182"/>
      <c r="W114" s="182"/>
      <c r="X114" s="182"/>
      <c r="Y114" s="181"/>
      <c r="Z114" s="18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</row>
    <row r="115" spans="1:106" x14ac:dyDescent="0.2">
      <c r="A115" s="31"/>
      <c r="B115" s="31"/>
      <c r="C115" s="179"/>
      <c r="D115" s="179"/>
      <c r="E115" s="179"/>
      <c r="F115" s="179"/>
      <c r="G115" s="181"/>
      <c r="H115" s="181"/>
      <c r="I115" s="181"/>
      <c r="J115" s="181"/>
      <c r="K115" s="181"/>
      <c r="L115" s="181"/>
      <c r="M115" s="181"/>
      <c r="N115" s="181"/>
      <c r="O115" s="181"/>
      <c r="P115" s="181"/>
      <c r="Q115" s="31"/>
      <c r="R115" s="179"/>
      <c r="S115" s="182"/>
      <c r="T115" s="182"/>
      <c r="U115" s="182"/>
      <c r="V115" s="182"/>
      <c r="W115" s="182"/>
      <c r="X115" s="182"/>
      <c r="Y115" s="181"/>
      <c r="Z115" s="18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</row>
    <row r="116" spans="1:106" x14ac:dyDescent="0.2">
      <c r="A116" s="31"/>
      <c r="B116" s="31"/>
      <c r="C116" s="179"/>
      <c r="D116" s="179"/>
      <c r="E116" s="179"/>
      <c r="F116" s="179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31"/>
      <c r="R116" s="179"/>
      <c r="S116" s="182"/>
      <c r="T116" s="182"/>
      <c r="U116" s="182"/>
      <c r="V116" s="182"/>
      <c r="W116" s="182"/>
      <c r="X116" s="182"/>
      <c r="Y116" s="181"/>
      <c r="Z116" s="18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</row>
    <row r="117" spans="1:106" x14ac:dyDescent="0.2">
      <c r="A117" s="31"/>
      <c r="B117" s="31"/>
      <c r="C117" s="179"/>
      <c r="D117" s="179"/>
      <c r="E117" s="179"/>
      <c r="F117" s="179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31"/>
      <c r="R117" s="179"/>
      <c r="S117" s="182"/>
      <c r="T117" s="182"/>
      <c r="U117" s="182"/>
      <c r="V117" s="182"/>
      <c r="W117" s="182"/>
      <c r="X117" s="182"/>
      <c r="Y117" s="181"/>
      <c r="Z117" s="18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</row>
    <row r="118" spans="1:106" x14ac:dyDescent="0.2">
      <c r="A118" s="31"/>
      <c r="B118" s="31"/>
      <c r="C118" s="179"/>
      <c r="D118" s="179"/>
      <c r="E118" s="179"/>
      <c r="F118" s="179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31"/>
      <c r="R118" s="179"/>
      <c r="S118" s="182"/>
      <c r="T118" s="182"/>
      <c r="U118" s="182"/>
      <c r="V118" s="182"/>
      <c r="W118" s="182"/>
      <c r="X118" s="182"/>
      <c r="Y118" s="181"/>
      <c r="Z118" s="18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</row>
    <row r="119" spans="1:106" x14ac:dyDescent="0.2">
      <c r="A119" s="31"/>
      <c r="B119" s="31"/>
      <c r="C119" s="179"/>
      <c r="D119" s="179"/>
      <c r="E119" s="179"/>
      <c r="F119" s="179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31"/>
      <c r="R119" s="179"/>
      <c r="S119" s="182"/>
      <c r="T119" s="182"/>
      <c r="U119" s="182"/>
      <c r="V119" s="182"/>
      <c r="W119" s="182"/>
      <c r="X119" s="182"/>
      <c r="Y119" s="181"/>
      <c r="Z119" s="18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  <c r="CN119" s="31"/>
      <c r="CO119" s="31"/>
      <c r="CP119" s="31"/>
      <c r="CQ119" s="31"/>
      <c r="CR119" s="31"/>
      <c r="CS119" s="31"/>
      <c r="CT119" s="31"/>
      <c r="CU119" s="31"/>
      <c r="CV119" s="31"/>
      <c r="CW119" s="31"/>
      <c r="CX119" s="31"/>
      <c r="CY119" s="31"/>
      <c r="CZ119" s="31"/>
      <c r="DA119" s="31"/>
      <c r="DB119" s="31"/>
    </row>
    <row r="120" spans="1:106" x14ac:dyDescent="0.2">
      <c r="A120" s="31"/>
      <c r="B120" s="31"/>
      <c r="C120" s="179"/>
      <c r="D120" s="179"/>
      <c r="E120" s="179"/>
      <c r="F120" s="179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31"/>
      <c r="R120" s="179"/>
      <c r="S120" s="182"/>
      <c r="T120" s="182"/>
      <c r="U120" s="182"/>
      <c r="V120" s="182"/>
      <c r="W120" s="182"/>
      <c r="X120" s="182"/>
      <c r="Y120" s="181"/>
      <c r="Z120" s="18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</row>
    <row r="121" spans="1:106" x14ac:dyDescent="0.2">
      <c r="A121" s="31"/>
      <c r="B121" s="31"/>
      <c r="C121" s="179"/>
      <c r="D121" s="179"/>
      <c r="E121" s="179"/>
      <c r="F121" s="179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31"/>
      <c r="R121" s="179"/>
      <c r="S121" s="182"/>
      <c r="T121" s="182"/>
      <c r="U121" s="182"/>
      <c r="V121" s="182"/>
      <c r="W121" s="182"/>
      <c r="X121" s="182"/>
      <c r="Y121" s="181"/>
      <c r="Z121" s="18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</row>
    <row r="122" spans="1:106" x14ac:dyDescent="0.2">
      <c r="A122" s="31"/>
      <c r="B122" s="31"/>
      <c r="C122" s="179"/>
      <c r="D122" s="179"/>
      <c r="E122" s="179"/>
      <c r="F122" s="179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31"/>
      <c r="R122" s="179"/>
      <c r="S122" s="182"/>
      <c r="T122" s="182"/>
      <c r="U122" s="182"/>
      <c r="V122" s="182"/>
      <c r="W122" s="182"/>
      <c r="X122" s="182"/>
      <c r="Y122" s="181"/>
      <c r="Z122" s="18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</row>
    <row r="123" spans="1:106" x14ac:dyDescent="0.2">
      <c r="A123" s="31"/>
      <c r="B123" s="31"/>
      <c r="C123" s="179"/>
      <c r="D123" s="179"/>
      <c r="E123" s="179"/>
      <c r="F123" s="179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31"/>
      <c r="R123" s="179"/>
      <c r="S123" s="182"/>
      <c r="T123" s="182"/>
      <c r="U123" s="182"/>
      <c r="V123" s="182"/>
      <c r="W123" s="182"/>
      <c r="X123" s="182"/>
      <c r="Y123" s="181"/>
      <c r="Z123" s="18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</row>
    <row r="124" spans="1:106" x14ac:dyDescent="0.2">
      <c r="A124" s="31"/>
      <c r="B124" s="31"/>
      <c r="C124" s="179"/>
      <c r="D124" s="179"/>
      <c r="E124" s="179"/>
      <c r="F124" s="179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31"/>
      <c r="R124" s="179"/>
      <c r="S124" s="182"/>
      <c r="T124" s="182"/>
      <c r="U124" s="182"/>
      <c r="V124" s="182"/>
      <c r="W124" s="182"/>
      <c r="X124" s="182"/>
      <c r="Y124" s="181"/>
      <c r="Z124" s="18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</row>
    <row r="125" spans="1:106" x14ac:dyDescent="0.2">
      <c r="A125" s="31"/>
      <c r="B125" s="31"/>
      <c r="C125" s="179"/>
      <c r="D125" s="179"/>
      <c r="E125" s="179"/>
      <c r="F125" s="179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31"/>
      <c r="R125" s="179"/>
      <c r="S125" s="182"/>
      <c r="T125" s="182"/>
      <c r="U125" s="182"/>
      <c r="V125" s="182"/>
      <c r="W125" s="182"/>
      <c r="X125" s="182"/>
      <c r="Y125" s="181"/>
      <c r="Z125" s="18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</row>
    <row r="126" spans="1:106" x14ac:dyDescent="0.2">
      <c r="A126" s="31"/>
      <c r="B126" s="31"/>
      <c r="C126" s="179"/>
      <c r="D126" s="179"/>
      <c r="E126" s="179"/>
      <c r="F126" s="179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31"/>
      <c r="R126" s="179"/>
      <c r="S126" s="182"/>
      <c r="T126" s="182"/>
      <c r="U126" s="182"/>
      <c r="V126" s="182"/>
      <c r="W126" s="182"/>
      <c r="X126" s="182"/>
      <c r="Y126" s="181"/>
      <c r="Z126" s="18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</row>
    <row r="127" spans="1:106" x14ac:dyDescent="0.2">
      <c r="A127" s="31"/>
      <c r="B127" s="31"/>
      <c r="C127" s="179"/>
      <c r="D127" s="179"/>
      <c r="E127" s="179"/>
      <c r="F127" s="179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31"/>
      <c r="R127" s="179"/>
      <c r="S127" s="182"/>
      <c r="T127" s="182"/>
      <c r="U127" s="182"/>
      <c r="V127" s="182"/>
      <c r="W127" s="182"/>
      <c r="X127" s="182"/>
      <c r="Y127" s="181"/>
      <c r="Z127" s="18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</row>
    <row r="128" spans="1:106" x14ac:dyDescent="0.2">
      <c r="A128" s="31"/>
      <c r="B128" s="31"/>
      <c r="C128" s="179"/>
      <c r="D128" s="179"/>
      <c r="E128" s="179"/>
      <c r="F128" s="179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31"/>
      <c r="R128" s="179"/>
      <c r="S128" s="182"/>
      <c r="T128" s="182"/>
      <c r="U128" s="182"/>
      <c r="V128" s="182"/>
      <c r="W128" s="182"/>
      <c r="X128" s="182"/>
      <c r="Y128" s="181"/>
      <c r="Z128" s="18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</row>
    <row r="129" spans="1:106" x14ac:dyDescent="0.2">
      <c r="A129" s="31"/>
      <c r="B129" s="31"/>
      <c r="C129" s="179"/>
      <c r="D129" s="179"/>
      <c r="E129" s="179"/>
      <c r="F129" s="179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31"/>
      <c r="R129" s="179"/>
      <c r="S129" s="182"/>
      <c r="T129" s="182"/>
      <c r="U129" s="182"/>
      <c r="V129" s="182"/>
      <c r="W129" s="182"/>
      <c r="X129" s="182"/>
      <c r="Y129" s="181"/>
      <c r="Z129" s="18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</row>
    <row r="130" spans="1:106" x14ac:dyDescent="0.2">
      <c r="A130" s="31"/>
      <c r="B130" s="31"/>
      <c r="C130" s="179"/>
      <c r="D130" s="179"/>
      <c r="E130" s="179"/>
      <c r="F130" s="179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31"/>
      <c r="R130" s="179"/>
      <c r="S130" s="182"/>
      <c r="T130" s="182"/>
      <c r="U130" s="182"/>
      <c r="V130" s="182"/>
      <c r="W130" s="182"/>
      <c r="X130" s="182"/>
      <c r="Y130" s="181"/>
      <c r="Z130" s="18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</row>
    <row r="131" spans="1:106" x14ac:dyDescent="0.2">
      <c r="A131" s="31"/>
      <c r="B131" s="31"/>
      <c r="C131" s="179"/>
      <c r="D131" s="179"/>
      <c r="E131" s="179"/>
      <c r="F131" s="179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31"/>
      <c r="R131" s="179"/>
      <c r="S131" s="182"/>
      <c r="T131" s="182"/>
      <c r="U131" s="182"/>
      <c r="V131" s="182"/>
      <c r="W131" s="182"/>
      <c r="X131" s="182"/>
      <c r="Y131" s="181"/>
      <c r="Z131" s="18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</row>
    <row r="132" spans="1:106" x14ac:dyDescent="0.2">
      <c r="A132" s="31"/>
      <c r="B132" s="31"/>
      <c r="C132" s="179"/>
      <c r="D132" s="179"/>
      <c r="E132" s="179"/>
      <c r="F132" s="179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31"/>
      <c r="R132" s="179"/>
      <c r="S132" s="182"/>
      <c r="T132" s="182"/>
      <c r="U132" s="182"/>
      <c r="V132" s="182"/>
      <c r="W132" s="182"/>
      <c r="X132" s="182"/>
      <c r="Y132" s="181"/>
      <c r="Z132" s="18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</row>
    <row r="133" spans="1:106" x14ac:dyDescent="0.2">
      <c r="A133" s="31"/>
      <c r="B133" s="31"/>
      <c r="C133" s="179"/>
      <c r="D133" s="179"/>
      <c r="E133" s="179"/>
      <c r="F133" s="179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31"/>
      <c r="R133" s="179"/>
      <c r="S133" s="182"/>
      <c r="T133" s="182"/>
      <c r="U133" s="182"/>
      <c r="V133" s="182"/>
      <c r="W133" s="182"/>
      <c r="X133" s="182"/>
      <c r="Y133" s="181"/>
      <c r="Z133" s="18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</row>
    <row r="134" spans="1:106" x14ac:dyDescent="0.2">
      <c r="A134" s="31"/>
      <c r="B134" s="31"/>
      <c r="C134" s="179"/>
      <c r="D134" s="179"/>
      <c r="E134" s="179"/>
      <c r="F134" s="179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  <c r="Q134" s="31"/>
      <c r="R134" s="179"/>
      <c r="S134" s="182"/>
      <c r="T134" s="182"/>
      <c r="U134" s="182"/>
      <c r="V134" s="182"/>
      <c r="W134" s="182"/>
      <c r="X134" s="182"/>
      <c r="Y134" s="181"/>
      <c r="Z134" s="18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</row>
    <row r="135" spans="1:106" x14ac:dyDescent="0.2">
      <c r="A135" s="31"/>
      <c r="B135" s="31"/>
      <c r="C135" s="179"/>
      <c r="D135" s="179"/>
      <c r="E135" s="179"/>
      <c r="F135" s="179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31"/>
      <c r="R135" s="179"/>
      <c r="S135" s="182"/>
      <c r="T135" s="182"/>
      <c r="U135" s="182"/>
      <c r="V135" s="182"/>
      <c r="W135" s="182"/>
      <c r="X135" s="182"/>
      <c r="Y135" s="181"/>
      <c r="Z135" s="18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</row>
    <row r="136" spans="1:106" x14ac:dyDescent="0.2">
      <c r="A136" s="31"/>
      <c r="B136" s="31"/>
      <c r="C136" s="179"/>
      <c r="D136" s="179"/>
      <c r="E136" s="179"/>
      <c r="F136" s="179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31"/>
      <c r="R136" s="179"/>
      <c r="S136" s="182"/>
      <c r="T136" s="182"/>
      <c r="U136" s="182"/>
      <c r="V136" s="182"/>
      <c r="W136" s="182"/>
      <c r="X136" s="182"/>
      <c r="Y136" s="181"/>
      <c r="Z136" s="18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</row>
    <row r="137" spans="1:106" x14ac:dyDescent="0.2">
      <c r="A137" s="31"/>
      <c r="B137" s="31"/>
      <c r="C137" s="179"/>
      <c r="D137" s="179"/>
      <c r="E137" s="179"/>
      <c r="F137" s="179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31"/>
      <c r="R137" s="179"/>
      <c r="S137" s="182"/>
      <c r="T137" s="182"/>
      <c r="U137" s="182"/>
      <c r="V137" s="182"/>
      <c r="W137" s="182"/>
      <c r="X137" s="182"/>
      <c r="Y137" s="181"/>
      <c r="Z137" s="18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</row>
    <row r="138" spans="1:106" x14ac:dyDescent="0.2">
      <c r="A138" s="31"/>
      <c r="B138" s="31"/>
      <c r="C138" s="179"/>
      <c r="D138" s="179"/>
      <c r="E138" s="179"/>
      <c r="F138" s="179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31"/>
      <c r="R138" s="179"/>
      <c r="S138" s="182"/>
      <c r="T138" s="182"/>
      <c r="U138" s="182"/>
      <c r="V138" s="182"/>
      <c r="W138" s="182"/>
      <c r="X138" s="182"/>
      <c r="Y138" s="181"/>
      <c r="Z138" s="18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</row>
    <row r="139" spans="1:106" x14ac:dyDescent="0.2">
      <c r="A139" s="31"/>
      <c r="B139" s="31"/>
      <c r="C139" s="179"/>
      <c r="D139" s="179"/>
      <c r="E139" s="179"/>
      <c r="F139" s="179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31"/>
      <c r="R139" s="179"/>
      <c r="S139" s="182"/>
      <c r="T139" s="182"/>
      <c r="U139" s="182"/>
      <c r="V139" s="182"/>
      <c r="W139" s="182"/>
      <c r="X139" s="182"/>
      <c r="Y139" s="181"/>
      <c r="Z139" s="18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</row>
    <row r="140" spans="1:106" x14ac:dyDescent="0.2">
      <c r="A140" s="31"/>
      <c r="B140" s="31"/>
      <c r="C140" s="179"/>
      <c r="D140" s="179"/>
      <c r="E140" s="179"/>
      <c r="F140" s="179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31"/>
      <c r="R140" s="179"/>
      <c r="S140" s="182"/>
      <c r="T140" s="182"/>
      <c r="U140" s="182"/>
      <c r="V140" s="182"/>
      <c r="W140" s="182"/>
      <c r="X140" s="182"/>
      <c r="Y140" s="181"/>
      <c r="Z140" s="18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</row>
    <row r="141" spans="1:106" x14ac:dyDescent="0.2">
      <c r="A141" s="31"/>
      <c r="B141" s="31"/>
      <c r="C141" s="179"/>
      <c r="D141" s="179"/>
      <c r="E141" s="179"/>
      <c r="F141" s="179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31"/>
      <c r="R141" s="179"/>
      <c r="S141" s="182"/>
      <c r="T141" s="182"/>
      <c r="U141" s="182"/>
      <c r="V141" s="182"/>
      <c r="W141" s="182"/>
      <c r="X141" s="182"/>
      <c r="Y141" s="181"/>
      <c r="Z141" s="18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</row>
    <row r="142" spans="1:106" x14ac:dyDescent="0.2">
      <c r="A142" s="31"/>
      <c r="B142" s="31"/>
      <c r="C142" s="179"/>
      <c r="D142" s="179"/>
      <c r="E142" s="179"/>
      <c r="F142" s="179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31"/>
      <c r="R142" s="179"/>
      <c r="S142" s="182"/>
      <c r="T142" s="182"/>
      <c r="U142" s="182"/>
      <c r="V142" s="182"/>
      <c r="W142" s="182"/>
      <c r="X142" s="182"/>
      <c r="Y142" s="181"/>
      <c r="Z142" s="18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</row>
    <row r="143" spans="1:106" x14ac:dyDescent="0.2">
      <c r="A143" s="31"/>
      <c r="B143" s="31"/>
      <c r="C143" s="179"/>
      <c r="D143" s="179"/>
      <c r="E143" s="179"/>
      <c r="F143" s="179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31"/>
      <c r="R143" s="179"/>
      <c r="S143" s="182"/>
      <c r="T143" s="182"/>
      <c r="U143" s="182"/>
      <c r="V143" s="182"/>
      <c r="W143" s="182"/>
      <c r="X143" s="182"/>
      <c r="Y143" s="181"/>
      <c r="Z143" s="18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</row>
    <row r="144" spans="1:106" x14ac:dyDescent="0.2">
      <c r="A144" s="31"/>
      <c r="B144" s="31"/>
      <c r="C144" s="179"/>
      <c r="D144" s="179"/>
      <c r="E144" s="179"/>
      <c r="F144" s="179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31"/>
      <c r="R144" s="179"/>
      <c r="S144" s="182"/>
      <c r="T144" s="182"/>
      <c r="U144" s="182"/>
      <c r="V144" s="182"/>
      <c r="W144" s="182"/>
      <c r="X144" s="182"/>
      <c r="Y144" s="181"/>
      <c r="Z144" s="18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</row>
    <row r="145" spans="1:106" x14ac:dyDescent="0.2">
      <c r="A145" s="31"/>
      <c r="B145" s="31"/>
      <c r="C145" s="179"/>
      <c r="D145" s="179"/>
      <c r="E145" s="179"/>
      <c r="F145" s="179"/>
      <c r="G145" s="181"/>
      <c r="H145" s="181"/>
      <c r="I145" s="181"/>
      <c r="J145" s="181"/>
      <c r="K145" s="181"/>
      <c r="L145" s="181"/>
      <c r="M145" s="181"/>
      <c r="N145" s="181"/>
      <c r="O145" s="181"/>
      <c r="P145" s="181"/>
      <c r="Q145" s="31"/>
      <c r="R145" s="179"/>
      <c r="S145" s="182"/>
      <c r="T145" s="182"/>
      <c r="U145" s="182"/>
      <c r="V145" s="182"/>
      <c r="W145" s="182"/>
      <c r="X145" s="182"/>
      <c r="Y145" s="181"/>
      <c r="Z145" s="18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  <c r="CJ145" s="31"/>
      <c r="CK145" s="31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</row>
    <row r="146" spans="1:106" x14ac:dyDescent="0.2">
      <c r="A146" s="31"/>
      <c r="B146" s="31"/>
      <c r="C146" s="179"/>
      <c r="D146" s="179"/>
      <c r="E146" s="179"/>
      <c r="F146" s="179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31"/>
      <c r="R146" s="179"/>
      <c r="S146" s="182"/>
      <c r="T146" s="182"/>
      <c r="U146" s="182"/>
      <c r="V146" s="182"/>
      <c r="W146" s="182"/>
      <c r="X146" s="182"/>
      <c r="Y146" s="181"/>
      <c r="Z146" s="18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  <c r="CJ146" s="31"/>
      <c r="CK146" s="31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</row>
    <row r="147" spans="1:106" x14ac:dyDescent="0.2">
      <c r="A147" s="31"/>
      <c r="B147" s="31"/>
      <c r="C147" s="179"/>
      <c r="D147" s="179"/>
      <c r="E147" s="179"/>
      <c r="F147" s="179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31"/>
      <c r="R147" s="179"/>
      <c r="S147" s="182"/>
      <c r="T147" s="182"/>
      <c r="U147" s="182"/>
      <c r="V147" s="182"/>
      <c r="W147" s="182"/>
      <c r="X147" s="182"/>
      <c r="Y147" s="181"/>
      <c r="Z147" s="18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  <c r="CJ147" s="31"/>
      <c r="CK147" s="31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</row>
    <row r="148" spans="1:106" x14ac:dyDescent="0.2">
      <c r="A148" s="31"/>
      <c r="B148" s="31"/>
      <c r="C148" s="179"/>
      <c r="D148" s="179"/>
      <c r="E148" s="179"/>
      <c r="F148" s="179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31"/>
      <c r="R148" s="179"/>
      <c r="S148" s="182"/>
      <c r="T148" s="182"/>
      <c r="U148" s="182"/>
      <c r="V148" s="182"/>
      <c r="W148" s="182"/>
      <c r="X148" s="182"/>
      <c r="Y148" s="181"/>
      <c r="Z148" s="18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</row>
    <row r="149" spans="1:106" x14ac:dyDescent="0.2">
      <c r="A149" s="31"/>
      <c r="B149" s="31"/>
      <c r="C149" s="179"/>
      <c r="D149" s="179"/>
      <c r="E149" s="179"/>
      <c r="F149" s="179"/>
      <c r="G149" s="181"/>
      <c r="H149" s="181"/>
      <c r="I149" s="181"/>
      <c r="J149" s="181"/>
      <c r="K149" s="181"/>
      <c r="L149" s="181"/>
      <c r="M149" s="181"/>
      <c r="N149" s="181"/>
      <c r="O149" s="181"/>
      <c r="P149" s="181"/>
      <c r="Q149" s="31"/>
      <c r="R149" s="179"/>
      <c r="S149" s="182"/>
      <c r="T149" s="182"/>
      <c r="U149" s="182"/>
      <c r="V149" s="182"/>
      <c r="W149" s="182"/>
      <c r="X149" s="182"/>
      <c r="Y149" s="181"/>
      <c r="Z149" s="18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  <c r="CJ149" s="31"/>
      <c r="CK149" s="31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</row>
    <row r="150" spans="1:106" x14ac:dyDescent="0.2">
      <c r="A150" s="31"/>
      <c r="B150" s="31"/>
      <c r="C150" s="179"/>
      <c r="D150" s="179"/>
      <c r="E150" s="179"/>
      <c r="F150" s="179"/>
      <c r="G150" s="181"/>
      <c r="H150" s="181"/>
      <c r="I150" s="181"/>
      <c r="J150" s="181"/>
      <c r="K150" s="181"/>
      <c r="L150" s="181"/>
      <c r="M150" s="181"/>
      <c r="N150" s="181"/>
      <c r="O150" s="181"/>
      <c r="P150" s="181"/>
      <c r="Q150" s="31"/>
      <c r="R150" s="179"/>
      <c r="S150" s="182"/>
      <c r="T150" s="182"/>
      <c r="U150" s="182"/>
      <c r="V150" s="182"/>
      <c r="W150" s="182"/>
      <c r="X150" s="182"/>
      <c r="Y150" s="181"/>
      <c r="Z150" s="18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  <c r="CJ150" s="31"/>
      <c r="CK150" s="31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</row>
    <row r="151" spans="1:106" x14ac:dyDescent="0.2">
      <c r="A151" s="31"/>
      <c r="B151" s="31"/>
      <c r="C151" s="179"/>
      <c r="D151" s="179"/>
      <c r="E151" s="179"/>
      <c r="F151" s="179"/>
      <c r="G151" s="181"/>
      <c r="H151" s="181"/>
      <c r="I151" s="181"/>
      <c r="J151" s="181"/>
      <c r="K151" s="181"/>
      <c r="L151" s="181"/>
      <c r="M151" s="181"/>
      <c r="N151" s="181"/>
      <c r="O151" s="181"/>
      <c r="P151" s="181"/>
      <c r="Q151" s="31"/>
      <c r="R151" s="179"/>
      <c r="S151" s="182"/>
      <c r="T151" s="182"/>
      <c r="U151" s="182"/>
      <c r="V151" s="182"/>
      <c r="W151" s="182"/>
      <c r="X151" s="182"/>
      <c r="Y151" s="181"/>
      <c r="Z151" s="18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  <c r="CJ151" s="31"/>
      <c r="CK151" s="31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</row>
    <row r="152" spans="1:106" x14ac:dyDescent="0.2">
      <c r="A152" s="31"/>
      <c r="B152" s="31"/>
      <c r="C152" s="179"/>
      <c r="D152" s="179"/>
      <c r="E152" s="179"/>
      <c r="F152" s="179"/>
      <c r="G152" s="181"/>
      <c r="H152" s="181"/>
      <c r="I152" s="181"/>
      <c r="J152" s="181"/>
      <c r="K152" s="181"/>
      <c r="L152" s="181"/>
      <c r="M152" s="181"/>
      <c r="N152" s="181"/>
      <c r="O152" s="181"/>
      <c r="P152" s="181"/>
      <c r="Q152" s="31"/>
      <c r="R152" s="179"/>
      <c r="S152" s="182"/>
      <c r="T152" s="182"/>
      <c r="U152" s="182"/>
      <c r="V152" s="182"/>
      <c r="W152" s="182"/>
      <c r="X152" s="182"/>
      <c r="Y152" s="181"/>
      <c r="Z152" s="18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  <c r="CJ152" s="31"/>
      <c r="CK152" s="31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</row>
    <row r="153" spans="1:106" x14ac:dyDescent="0.2">
      <c r="A153" s="31"/>
      <c r="B153" s="31"/>
      <c r="C153" s="179"/>
      <c r="D153" s="179"/>
      <c r="E153" s="179"/>
      <c r="F153" s="179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31"/>
      <c r="R153" s="179"/>
      <c r="S153" s="182"/>
      <c r="T153" s="182"/>
      <c r="U153" s="182"/>
      <c r="V153" s="182"/>
      <c r="W153" s="182"/>
      <c r="X153" s="182"/>
      <c r="Y153" s="181"/>
      <c r="Z153" s="18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  <c r="CJ153" s="31"/>
      <c r="CK153" s="31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</row>
    <row r="154" spans="1:106" x14ac:dyDescent="0.2">
      <c r="A154" s="31"/>
      <c r="B154" s="31"/>
      <c r="C154" s="179"/>
      <c r="D154" s="179"/>
      <c r="E154" s="179"/>
      <c r="F154" s="179"/>
      <c r="G154" s="181"/>
      <c r="H154" s="181"/>
      <c r="I154" s="181"/>
      <c r="J154" s="181"/>
      <c r="K154" s="181"/>
      <c r="L154" s="181"/>
      <c r="M154" s="181"/>
      <c r="N154" s="181"/>
      <c r="O154" s="181"/>
      <c r="P154" s="181"/>
      <c r="Q154" s="31"/>
      <c r="R154" s="179"/>
      <c r="S154" s="182"/>
      <c r="T154" s="182"/>
      <c r="U154" s="182"/>
      <c r="V154" s="182"/>
      <c r="W154" s="182"/>
      <c r="X154" s="182"/>
      <c r="Y154" s="181"/>
      <c r="Z154" s="18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  <c r="CJ154" s="31"/>
      <c r="CK154" s="31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</row>
    <row r="155" spans="1:106" x14ac:dyDescent="0.2">
      <c r="A155" s="31"/>
      <c r="B155" s="31"/>
      <c r="C155" s="179"/>
      <c r="D155" s="179"/>
      <c r="E155" s="179"/>
      <c r="F155" s="179"/>
      <c r="G155" s="181"/>
      <c r="H155" s="181"/>
      <c r="I155" s="181"/>
      <c r="J155" s="181"/>
      <c r="K155" s="181"/>
      <c r="L155" s="181"/>
      <c r="M155" s="181"/>
      <c r="N155" s="181"/>
      <c r="O155" s="181"/>
      <c r="P155" s="181"/>
      <c r="Q155" s="31"/>
      <c r="R155" s="179"/>
      <c r="S155" s="182"/>
      <c r="T155" s="182"/>
      <c r="U155" s="182"/>
      <c r="V155" s="182"/>
      <c r="W155" s="182"/>
      <c r="X155" s="182"/>
      <c r="Y155" s="181"/>
      <c r="Z155" s="18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  <c r="CJ155" s="31"/>
      <c r="CK155" s="31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</row>
    <row r="156" spans="1:106" x14ac:dyDescent="0.2">
      <c r="A156" s="31"/>
      <c r="B156" s="31"/>
      <c r="C156" s="179"/>
      <c r="D156" s="179"/>
      <c r="E156" s="179"/>
      <c r="F156" s="179"/>
      <c r="G156" s="181"/>
      <c r="H156" s="181"/>
      <c r="I156" s="181"/>
      <c r="J156" s="181"/>
      <c r="K156" s="181"/>
      <c r="L156" s="181"/>
      <c r="M156" s="181"/>
      <c r="N156" s="181"/>
      <c r="O156" s="181"/>
      <c r="P156" s="181"/>
      <c r="Q156" s="31"/>
      <c r="R156" s="179"/>
      <c r="S156" s="182"/>
      <c r="T156" s="182"/>
      <c r="U156" s="182"/>
      <c r="V156" s="182"/>
      <c r="W156" s="182"/>
      <c r="X156" s="182"/>
      <c r="Y156" s="181"/>
      <c r="Z156" s="18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  <c r="CJ156" s="31"/>
      <c r="CK156" s="31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</row>
    <row r="157" spans="1:106" x14ac:dyDescent="0.2">
      <c r="A157" s="31"/>
      <c r="B157" s="31"/>
      <c r="C157" s="179"/>
      <c r="D157" s="179"/>
      <c r="E157" s="179"/>
      <c r="F157" s="179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31"/>
      <c r="R157" s="179"/>
      <c r="S157" s="182"/>
      <c r="T157" s="182"/>
      <c r="U157" s="182"/>
      <c r="V157" s="182"/>
      <c r="W157" s="182"/>
      <c r="X157" s="182"/>
      <c r="Y157" s="181"/>
      <c r="Z157" s="18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  <c r="CJ157" s="31"/>
      <c r="CK157" s="31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</row>
    <row r="158" spans="1:106" x14ac:dyDescent="0.2">
      <c r="A158" s="31"/>
      <c r="B158" s="31"/>
      <c r="C158" s="179"/>
      <c r="D158" s="179"/>
      <c r="E158" s="179"/>
      <c r="F158" s="179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31"/>
      <c r="R158" s="179"/>
      <c r="S158" s="182"/>
      <c r="T158" s="182"/>
      <c r="U158" s="182"/>
      <c r="V158" s="182"/>
      <c r="W158" s="182"/>
      <c r="X158" s="182"/>
      <c r="Y158" s="181"/>
      <c r="Z158" s="18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  <c r="CJ158" s="31"/>
      <c r="CK158" s="31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</row>
    <row r="159" spans="1:106" x14ac:dyDescent="0.2">
      <c r="A159" s="31"/>
      <c r="B159" s="31"/>
      <c r="C159" s="179"/>
      <c r="D159" s="179"/>
      <c r="E159" s="179"/>
      <c r="F159" s="179"/>
      <c r="G159" s="181"/>
      <c r="H159" s="181"/>
      <c r="I159" s="181"/>
      <c r="J159" s="181"/>
      <c r="K159" s="181"/>
      <c r="L159" s="181"/>
      <c r="M159" s="181"/>
      <c r="N159" s="181"/>
      <c r="O159" s="181"/>
      <c r="P159" s="181"/>
      <c r="Q159" s="31"/>
      <c r="R159" s="179"/>
      <c r="S159" s="182"/>
      <c r="T159" s="182"/>
      <c r="U159" s="182"/>
      <c r="V159" s="182"/>
      <c r="W159" s="182"/>
      <c r="X159" s="182"/>
      <c r="Y159" s="181"/>
      <c r="Z159" s="18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  <c r="CJ159" s="31"/>
      <c r="CK159" s="31"/>
      <c r="CL159" s="31"/>
      <c r="CM159" s="31"/>
      <c r="CN159" s="31"/>
      <c r="CO159" s="31"/>
      <c r="CP159" s="31"/>
      <c r="CQ159" s="31"/>
      <c r="CR159" s="31"/>
      <c r="CS159" s="31"/>
      <c r="CT159" s="31"/>
      <c r="CU159" s="31"/>
      <c r="CV159" s="31"/>
      <c r="CW159" s="31"/>
      <c r="CX159" s="31"/>
      <c r="CY159" s="31"/>
      <c r="CZ159" s="31"/>
      <c r="DA159" s="31"/>
      <c r="DB159" s="31"/>
    </row>
  </sheetData>
  <mergeCells count="31">
    <mergeCell ref="D64:G64"/>
    <mergeCell ref="I49:P49"/>
    <mergeCell ref="I50:P50"/>
    <mergeCell ref="C52:D53"/>
    <mergeCell ref="E52:F53"/>
    <mergeCell ref="D55:J56"/>
    <mergeCell ref="D62:G62"/>
    <mergeCell ref="C44:D45"/>
    <mergeCell ref="E44:F45"/>
    <mergeCell ref="C47:D48"/>
    <mergeCell ref="E47:F48"/>
    <mergeCell ref="C49:D50"/>
    <mergeCell ref="E49:F50"/>
    <mergeCell ref="C36:D36"/>
    <mergeCell ref="O37:P37"/>
    <mergeCell ref="E39:P39"/>
    <mergeCell ref="C41:E41"/>
    <mergeCell ref="C42:D43"/>
    <mergeCell ref="E42:F43"/>
    <mergeCell ref="A7:L7"/>
    <mergeCell ref="M7:N7"/>
    <mergeCell ref="C17:D17"/>
    <mergeCell ref="K21:P21"/>
    <mergeCell ref="K22:O22"/>
    <mergeCell ref="M25:N25"/>
    <mergeCell ref="C2:G2"/>
    <mergeCell ref="J2:P2"/>
    <mergeCell ref="C4:D4"/>
    <mergeCell ref="G4:H4"/>
    <mergeCell ref="K4:P5"/>
    <mergeCell ref="A6:L6"/>
  </mergeCells>
  <pageMargins left="0.5" right="0.25" top="0.75" bottom="0.25" header="0.5" footer="0.5"/>
  <pageSetup scale="87" orientation="portrait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OPTIONAL LEAVE TRACKING SHEET</vt:lpstr>
      <vt:lpstr>Enter Employee Name, CWID</vt:lpstr>
      <vt:lpstr>Beginning 05-31-20</vt:lpstr>
      <vt:lpstr>Beginning 06-14-20</vt:lpstr>
      <vt:lpstr>ACCRUE_LEAVE</vt:lpstr>
      <vt:lpstr>BEGIN_DATE</vt:lpstr>
      <vt:lpstr>BeginBalanceComp</vt:lpstr>
      <vt:lpstr>CONT_EMPLOY</vt:lpstr>
      <vt:lpstr>EligibleforOvertime</vt:lpstr>
      <vt:lpstr>FTE</vt:lpstr>
      <vt:lpstr>LEAVE_TABLE</vt:lpstr>
      <vt:lpstr>NAME</vt:lpstr>
      <vt:lpstr>OvertimeRate</vt:lpstr>
      <vt:lpstr>'Beginning 05-31-20'!paidOTWeek1</vt:lpstr>
      <vt:lpstr>'Beginning 06-14-20'!paidOTWeek1</vt:lpstr>
      <vt:lpstr>'Beginning 05-31-20'!paidOTWeek2</vt:lpstr>
      <vt:lpstr>'Beginning 06-14-20'!paidOTWeek2</vt:lpstr>
      <vt:lpstr>PERIOD</vt:lpstr>
      <vt:lpstr>SSN</vt:lpstr>
      <vt:lpstr>'Beginning 05-31-20'!START_DATE</vt:lpstr>
      <vt:lpstr>'Beginning 06-14-20'!START_DATE</vt:lpstr>
      <vt:lpstr>VACATION_START</vt:lpstr>
    </vt:vector>
  </TitlesOfParts>
  <Company>OSU-Tulsa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BAF</dc:creator>
  <cp:lastModifiedBy>zac yap</cp:lastModifiedBy>
  <cp:lastPrinted>2018-10-22T00:40:38Z</cp:lastPrinted>
  <dcterms:created xsi:type="dcterms:W3CDTF">2003-04-08T21:43:22Z</dcterms:created>
  <dcterms:modified xsi:type="dcterms:W3CDTF">2020-06-15T18:46:18Z</dcterms:modified>
</cp:coreProperties>
</file>